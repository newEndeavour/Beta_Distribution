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125"/>
  <workbookPr date1904="1" showInkAnnotation="0" autoCompressPictures="0"/>
  <bookViews>
    <workbookView xWindow="0" yWindow="0" windowWidth="28740" windowHeight="17540" tabRatio="500"/>
  </bookViews>
  <sheets>
    <sheet name="Gamma_k,theta" sheetId="24" r:id="rId1"/>
  </sheets>
  <definedNames>
    <definedName name="ENV_DATA">OFFSET(#REF!,0,0,COUNT(#REF!),1)</definedName>
    <definedName name="FOIL.LINE.A_HELD__WPN" localSheetId="0">'Gamma_k,theta'!#REF!</definedName>
    <definedName name="N_ENV_DATA">OFFSET(#REF!,0,0,COUNT(#REF!),1)</definedName>
    <definedName name="N_RAWDATA">OFFSET(#REF!,0,0,COUNT(#REF!),1)</definedName>
    <definedName name="OCCURDATA">OFFSET(#REF!,0,0,COUNT(#REF!),1)</definedName>
    <definedName name="RAWDATA">OFFSET(#REF!,0,0,COUNT(#REF!),1)</definedName>
    <definedName name="REFDATA">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2" i="24" l="1"/>
  <c r="C53" i="24"/>
  <c r="C54" i="24"/>
  <c r="C55" i="24"/>
  <c r="C56" i="24"/>
  <c r="C57" i="24"/>
  <c r="C58" i="24"/>
  <c r="C59" i="24"/>
  <c r="C60" i="24"/>
  <c r="C61" i="24"/>
  <c r="C62" i="24"/>
  <c r="C63" i="24"/>
  <c r="C64" i="24"/>
  <c r="C65" i="24"/>
  <c r="C66" i="24"/>
  <c r="C51" i="24"/>
  <c r="R60" i="24"/>
  <c r="Q60" i="24"/>
  <c r="O60" i="24"/>
  <c r="N60" i="24"/>
  <c r="L60" i="24"/>
  <c r="K60" i="24"/>
  <c r="I60" i="24"/>
  <c r="H60" i="24"/>
  <c r="F60" i="24"/>
  <c r="E60" i="24"/>
  <c r="B51" i="24"/>
  <c r="B52" i="24"/>
  <c r="B53" i="24"/>
  <c r="B54" i="24"/>
  <c r="B55" i="24"/>
  <c r="B56" i="24"/>
  <c r="B57" i="24"/>
  <c r="B58" i="24"/>
  <c r="B59" i="24"/>
  <c r="B60" i="24"/>
  <c r="R59" i="24"/>
  <c r="Q59" i="24"/>
  <c r="O59" i="24"/>
  <c r="N59" i="24"/>
  <c r="L59" i="24"/>
  <c r="K59" i="24"/>
  <c r="I59" i="24"/>
  <c r="H59" i="24"/>
  <c r="F59" i="24"/>
  <c r="E59" i="24"/>
  <c r="R58" i="24"/>
  <c r="Q58" i="24"/>
  <c r="O58" i="24"/>
  <c r="N58" i="24"/>
  <c r="L58" i="24"/>
  <c r="K58" i="24"/>
  <c r="I58" i="24"/>
  <c r="H58" i="24"/>
  <c r="F58" i="24"/>
  <c r="E58" i="24"/>
  <c r="R57" i="24"/>
  <c r="Q57" i="24"/>
  <c r="O57" i="24"/>
  <c r="N57" i="24"/>
  <c r="L57" i="24"/>
  <c r="K57" i="24"/>
  <c r="I57" i="24"/>
  <c r="H57" i="24"/>
  <c r="F57" i="24"/>
  <c r="E57" i="24"/>
  <c r="R56" i="24"/>
  <c r="Q56" i="24"/>
  <c r="O56" i="24"/>
  <c r="N56" i="24"/>
  <c r="L56" i="24"/>
  <c r="K56" i="24"/>
  <c r="I56" i="24"/>
  <c r="H56" i="24"/>
  <c r="F56" i="24"/>
  <c r="E56" i="24"/>
  <c r="R55" i="24"/>
  <c r="Q55" i="24"/>
  <c r="O55" i="24"/>
  <c r="N55" i="24"/>
  <c r="L55" i="24"/>
  <c r="K55" i="24"/>
  <c r="I55" i="24"/>
  <c r="H55" i="24"/>
  <c r="F55" i="24"/>
  <c r="E55" i="24"/>
  <c r="R54" i="24"/>
  <c r="Q54" i="24"/>
  <c r="O54" i="24"/>
  <c r="N54" i="24"/>
  <c r="L54" i="24"/>
  <c r="K54" i="24"/>
  <c r="I54" i="24"/>
  <c r="H54" i="24"/>
  <c r="F54" i="24"/>
  <c r="E54" i="24"/>
  <c r="R53" i="24"/>
  <c r="Q53" i="24"/>
  <c r="O53" i="24"/>
  <c r="N53" i="24"/>
  <c r="L53" i="24"/>
  <c r="K53" i="24"/>
  <c r="I53" i="24"/>
  <c r="H53" i="24"/>
  <c r="F53" i="24"/>
  <c r="E53" i="24"/>
  <c r="R52" i="24"/>
  <c r="Q52" i="24"/>
  <c r="O52" i="24"/>
  <c r="N52" i="24"/>
  <c r="L52" i="24"/>
  <c r="K52" i="24"/>
  <c r="I52" i="24"/>
  <c r="H52" i="24"/>
  <c r="F52" i="24"/>
  <c r="E52" i="24"/>
  <c r="R51" i="24"/>
  <c r="Q51" i="24"/>
  <c r="O51" i="24"/>
  <c r="N51" i="24"/>
  <c r="L51" i="24"/>
  <c r="K51" i="24"/>
  <c r="I51" i="24"/>
  <c r="H51" i="24"/>
  <c r="F51" i="24"/>
  <c r="E51" i="24"/>
  <c r="C7" i="24"/>
  <c r="C8" i="24"/>
  <c r="C9" i="24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C36" i="24"/>
  <c r="C37" i="24"/>
  <c r="C38" i="24"/>
  <c r="C39" i="24"/>
  <c r="C40" i="24"/>
  <c r="C41" i="24"/>
  <c r="C42" i="24"/>
  <c r="C43" i="24"/>
  <c r="C44" i="24"/>
  <c r="C45" i="24"/>
  <c r="C46" i="24"/>
  <c r="C47" i="24"/>
  <c r="C48" i="24"/>
  <c r="C49" i="24"/>
  <c r="C50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B27" i="24"/>
  <c r="B28" i="24"/>
  <c r="B29" i="24"/>
  <c r="B30" i="24"/>
  <c r="B31" i="24"/>
  <c r="B32" i="24"/>
  <c r="B33" i="24"/>
  <c r="B34" i="24"/>
  <c r="B35" i="24"/>
  <c r="B36" i="24"/>
  <c r="B37" i="24"/>
  <c r="B38" i="24"/>
  <c r="B39" i="24"/>
  <c r="B40" i="24"/>
  <c r="B41" i="24"/>
  <c r="B42" i="24"/>
  <c r="B43" i="24"/>
  <c r="B44" i="24"/>
  <c r="B45" i="24"/>
  <c r="B46" i="24"/>
  <c r="B47" i="24"/>
  <c r="B48" i="24"/>
  <c r="B49" i="24"/>
  <c r="B50" i="24"/>
  <c r="C6" i="24"/>
  <c r="R14" i="24"/>
  <c r="Q14" i="24"/>
  <c r="O14" i="24"/>
  <c r="N14" i="24"/>
  <c r="L14" i="24"/>
  <c r="K14" i="24"/>
  <c r="I14" i="24"/>
  <c r="H14" i="24"/>
  <c r="F14" i="24"/>
  <c r="E14" i="24"/>
  <c r="R13" i="24"/>
  <c r="Q13" i="24"/>
  <c r="O13" i="24"/>
  <c r="N13" i="24"/>
  <c r="L13" i="24"/>
  <c r="K13" i="24"/>
  <c r="I13" i="24"/>
  <c r="H13" i="24"/>
  <c r="F13" i="24"/>
  <c r="E13" i="24"/>
  <c r="R12" i="24"/>
  <c r="Q12" i="24"/>
  <c r="O12" i="24"/>
  <c r="N12" i="24"/>
  <c r="L12" i="24"/>
  <c r="K12" i="24"/>
  <c r="I12" i="24"/>
  <c r="H12" i="24"/>
  <c r="F12" i="24"/>
  <c r="E12" i="24"/>
  <c r="R11" i="24"/>
  <c r="Q11" i="24"/>
  <c r="O11" i="24"/>
  <c r="N11" i="24"/>
  <c r="L11" i="24"/>
  <c r="K11" i="24"/>
  <c r="I11" i="24"/>
  <c r="H11" i="24"/>
  <c r="F11" i="24"/>
  <c r="E11" i="24"/>
  <c r="R10" i="24"/>
  <c r="Q10" i="24"/>
  <c r="O10" i="24"/>
  <c r="N10" i="24"/>
  <c r="L10" i="24"/>
  <c r="K10" i="24"/>
  <c r="I10" i="24"/>
  <c r="H10" i="24"/>
  <c r="F10" i="24"/>
  <c r="E10" i="24"/>
  <c r="R9" i="24"/>
  <c r="Q9" i="24"/>
  <c r="O9" i="24"/>
  <c r="N9" i="24"/>
  <c r="L9" i="24"/>
  <c r="K9" i="24"/>
  <c r="I9" i="24"/>
  <c r="H9" i="24"/>
  <c r="F9" i="24"/>
  <c r="E9" i="24"/>
  <c r="R8" i="24"/>
  <c r="Q8" i="24"/>
  <c r="O8" i="24"/>
  <c r="N8" i="24"/>
  <c r="L8" i="24"/>
  <c r="K8" i="24"/>
  <c r="I8" i="24"/>
  <c r="H8" i="24"/>
  <c r="F8" i="24"/>
  <c r="E8" i="24"/>
  <c r="R7" i="24"/>
  <c r="Q7" i="24"/>
  <c r="O7" i="24"/>
  <c r="N7" i="24"/>
  <c r="L7" i="24"/>
  <c r="K7" i="24"/>
  <c r="I7" i="24"/>
  <c r="H7" i="24"/>
  <c r="F7" i="24"/>
  <c r="E7" i="24"/>
  <c r="R6" i="24"/>
  <c r="Q6" i="24"/>
  <c r="O6" i="24"/>
  <c r="N6" i="24"/>
  <c r="L6" i="24"/>
  <c r="K6" i="24"/>
  <c r="I6" i="24"/>
  <c r="H6" i="24"/>
  <c r="F6" i="24"/>
  <c r="E6" i="24"/>
  <c r="C5" i="24"/>
  <c r="B61" i="24"/>
  <c r="B62" i="24"/>
  <c r="B63" i="24"/>
  <c r="B64" i="24"/>
  <c r="B65" i="24"/>
  <c r="B66" i="24"/>
  <c r="R65" i="24"/>
  <c r="Q65" i="24"/>
  <c r="O65" i="24"/>
  <c r="N65" i="24"/>
  <c r="L65" i="24"/>
  <c r="K65" i="24"/>
  <c r="I65" i="24"/>
  <c r="H65" i="24"/>
  <c r="F65" i="24"/>
  <c r="E65" i="24"/>
  <c r="R66" i="24"/>
  <c r="Q66" i="24"/>
  <c r="O66" i="24"/>
  <c r="N66" i="24"/>
  <c r="L66" i="24"/>
  <c r="K66" i="24"/>
  <c r="I66" i="24"/>
  <c r="H66" i="24"/>
  <c r="F66" i="24"/>
  <c r="E66" i="24"/>
  <c r="R64" i="24"/>
  <c r="Q64" i="24"/>
  <c r="O64" i="24"/>
  <c r="N64" i="24"/>
  <c r="L64" i="24"/>
  <c r="K64" i="24"/>
  <c r="I64" i="24"/>
  <c r="H64" i="24"/>
  <c r="F64" i="24"/>
  <c r="E64" i="24"/>
  <c r="R63" i="24"/>
  <c r="Q63" i="24"/>
  <c r="O63" i="24"/>
  <c r="N63" i="24"/>
  <c r="L63" i="24"/>
  <c r="K63" i="24"/>
  <c r="I63" i="24"/>
  <c r="H63" i="24"/>
  <c r="F63" i="24"/>
  <c r="E63" i="24"/>
  <c r="R62" i="24"/>
  <c r="Q62" i="24"/>
  <c r="O62" i="24"/>
  <c r="N62" i="24"/>
  <c r="L62" i="24"/>
  <c r="K62" i="24"/>
  <c r="I62" i="24"/>
  <c r="H62" i="24"/>
  <c r="F62" i="24"/>
  <c r="E62" i="24"/>
  <c r="R61" i="24"/>
  <c r="Q61" i="24"/>
  <c r="O61" i="24"/>
  <c r="N61" i="24"/>
  <c r="L61" i="24"/>
  <c r="K61" i="24"/>
  <c r="I61" i="24"/>
  <c r="H61" i="24"/>
  <c r="F61" i="24"/>
  <c r="E61" i="24"/>
  <c r="R4" i="24"/>
  <c r="Q4" i="24"/>
  <c r="O4" i="24"/>
  <c r="N4" i="24"/>
  <c r="L4" i="24"/>
  <c r="K4" i="24"/>
  <c r="I4" i="24"/>
  <c r="H4" i="24"/>
  <c r="F4" i="24"/>
  <c r="E4" i="24"/>
  <c r="R50" i="24"/>
  <c r="Q50" i="24"/>
  <c r="O50" i="24"/>
  <c r="N50" i="24"/>
  <c r="L50" i="24"/>
  <c r="K50" i="24"/>
  <c r="I50" i="24"/>
  <c r="H50" i="24"/>
  <c r="F50" i="24"/>
  <c r="E50" i="24"/>
  <c r="R49" i="24"/>
  <c r="Q49" i="24"/>
  <c r="O49" i="24"/>
  <c r="N49" i="24"/>
  <c r="L49" i="24"/>
  <c r="K49" i="24"/>
  <c r="I49" i="24"/>
  <c r="H49" i="24"/>
  <c r="F49" i="24"/>
  <c r="E49" i="24"/>
  <c r="R48" i="24"/>
  <c r="Q48" i="24"/>
  <c r="O48" i="24"/>
  <c r="N48" i="24"/>
  <c r="L48" i="24"/>
  <c r="K48" i="24"/>
  <c r="I48" i="24"/>
  <c r="H48" i="24"/>
  <c r="F48" i="24"/>
  <c r="E48" i="24"/>
  <c r="R47" i="24"/>
  <c r="Q47" i="24"/>
  <c r="O47" i="24"/>
  <c r="N47" i="24"/>
  <c r="L47" i="24"/>
  <c r="K47" i="24"/>
  <c r="I47" i="24"/>
  <c r="H47" i="24"/>
  <c r="F47" i="24"/>
  <c r="E47" i="24"/>
  <c r="R46" i="24"/>
  <c r="Q46" i="24"/>
  <c r="O46" i="24"/>
  <c r="N46" i="24"/>
  <c r="L46" i="24"/>
  <c r="K46" i="24"/>
  <c r="I46" i="24"/>
  <c r="H46" i="24"/>
  <c r="F46" i="24"/>
  <c r="E46" i="24"/>
  <c r="R45" i="24"/>
  <c r="Q45" i="24"/>
  <c r="O45" i="24"/>
  <c r="N45" i="24"/>
  <c r="L45" i="24"/>
  <c r="K45" i="24"/>
  <c r="I45" i="24"/>
  <c r="H45" i="24"/>
  <c r="F45" i="24"/>
  <c r="E45" i="24"/>
  <c r="R44" i="24"/>
  <c r="Q44" i="24"/>
  <c r="O44" i="24"/>
  <c r="N44" i="24"/>
  <c r="L44" i="24"/>
  <c r="K44" i="24"/>
  <c r="I44" i="24"/>
  <c r="H44" i="24"/>
  <c r="F44" i="24"/>
  <c r="E44" i="24"/>
  <c r="R43" i="24"/>
  <c r="Q43" i="24"/>
  <c r="O43" i="24"/>
  <c r="N43" i="24"/>
  <c r="L43" i="24"/>
  <c r="K43" i="24"/>
  <c r="I43" i="24"/>
  <c r="H43" i="24"/>
  <c r="F43" i="24"/>
  <c r="E43" i="24"/>
  <c r="R42" i="24"/>
  <c r="Q42" i="24"/>
  <c r="O42" i="24"/>
  <c r="N42" i="24"/>
  <c r="L42" i="24"/>
  <c r="K42" i="24"/>
  <c r="I42" i="24"/>
  <c r="H42" i="24"/>
  <c r="F42" i="24"/>
  <c r="E42" i="24"/>
  <c r="R41" i="24"/>
  <c r="Q41" i="24"/>
  <c r="O41" i="24"/>
  <c r="N41" i="24"/>
  <c r="L41" i="24"/>
  <c r="K41" i="24"/>
  <c r="I41" i="24"/>
  <c r="H41" i="24"/>
  <c r="F41" i="24"/>
  <c r="E41" i="24"/>
  <c r="R40" i="24"/>
  <c r="Q40" i="24"/>
  <c r="O40" i="24"/>
  <c r="N40" i="24"/>
  <c r="L40" i="24"/>
  <c r="K40" i="24"/>
  <c r="I40" i="24"/>
  <c r="H40" i="24"/>
  <c r="F40" i="24"/>
  <c r="E40" i="24"/>
  <c r="R39" i="24"/>
  <c r="Q39" i="24"/>
  <c r="O39" i="24"/>
  <c r="N39" i="24"/>
  <c r="L39" i="24"/>
  <c r="K39" i="24"/>
  <c r="I39" i="24"/>
  <c r="H39" i="24"/>
  <c r="F39" i="24"/>
  <c r="E39" i="24"/>
  <c r="R38" i="24"/>
  <c r="Q38" i="24"/>
  <c r="O38" i="24"/>
  <c r="N38" i="24"/>
  <c r="L38" i="24"/>
  <c r="K38" i="24"/>
  <c r="I38" i="24"/>
  <c r="H38" i="24"/>
  <c r="F38" i="24"/>
  <c r="E38" i="24"/>
  <c r="R37" i="24"/>
  <c r="Q37" i="24"/>
  <c r="O37" i="24"/>
  <c r="N37" i="24"/>
  <c r="L37" i="24"/>
  <c r="K37" i="24"/>
  <c r="I37" i="24"/>
  <c r="H37" i="24"/>
  <c r="F37" i="24"/>
  <c r="E37" i="24"/>
  <c r="R36" i="24"/>
  <c r="Q36" i="24"/>
  <c r="O36" i="24"/>
  <c r="N36" i="24"/>
  <c r="L36" i="24"/>
  <c r="K36" i="24"/>
  <c r="I36" i="24"/>
  <c r="H36" i="24"/>
  <c r="F36" i="24"/>
  <c r="E36" i="24"/>
  <c r="R35" i="24"/>
  <c r="Q35" i="24"/>
  <c r="O35" i="24"/>
  <c r="N35" i="24"/>
  <c r="L35" i="24"/>
  <c r="K35" i="24"/>
  <c r="I35" i="24"/>
  <c r="H35" i="24"/>
  <c r="F35" i="24"/>
  <c r="E35" i="24"/>
  <c r="R34" i="24"/>
  <c r="Q34" i="24"/>
  <c r="O34" i="24"/>
  <c r="N34" i="24"/>
  <c r="L34" i="24"/>
  <c r="K34" i="24"/>
  <c r="I34" i="24"/>
  <c r="H34" i="24"/>
  <c r="F34" i="24"/>
  <c r="E34" i="24"/>
  <c r="R33" i="24"/>
  <c r="Q33" i="24"/>
  <c r="O33" i="24"/>
  <c r="N33" i="24"/>
  <c r="L33" i="24"/>
  <c r="K33" i="24"/>
  <c r="I33" i="24"/>
  <c r="H33" i="24"/>
  <c r="F33" i="24"/>
  <c r="E33" i="24"/>
  <c r="R32" i="24"/>
  <c r="Q32" i="24"/>
  <c r="O32" i="24"/>
  <c r="N32" i="24"/>
  <c r="L32" i="24"/>
  <c r="K32" i="24"/>
  <c r="I32" i="24"/>
  <c r="H32" i="24"/>
  <c r="F32" i="24"/>
  <c r="E32" i="24"/>
  <c r="R31" i="24"/>
  <c r="Q31" i="24"/>
  <c r="O31" i="24"/>
  <c r="N31" i="24"/>
  <c r="L31" i="24"/>
  <c r="K31" i="24"/>
  <c r="I31" i="24"/>
  <c r="H31" i="24"/>
  <c r="F31" i="24"/>
  <c r="E31" i="24"/>
  <c r="R30" i="24"/>
  <c r="Q30" i="24"/>
  <c r="O30" i="24"/>
  <c r="N30" i="24"/>
  <c r="L30" i="24"/>
  <c r="K30" i="24"/>
  <c r="I30" i="24"/>
  <c r="H30" i="24"/>
  <c r="F30" i="24"/>
  <c r="E30" i="24"/>
  <c r="R29" i="24"/>
  <c r="Q29" i="24"/>
  <c r="O29" i="24"/>
  <c r="N29" i="24"/>
  <c r="L29" i="24"/>
  <c r="K29" i="24"/>
  <c r="I29" i="24"/>
  <c r="H29" i="24"/>
  <c r="F29" i="24"/>
  <c r="E29" i="24"/>
  <c r="R28" i="24"/>
  <c r="Q28" i="24"/>
  <c r="O28" i="24"/>
  <c r="N28" i="24"/>
  <c r="L28" i="24"/>
  <c r="K28" i="24"/>
  <c r="I28" i="24"/>
  <c r="H28" i="24"/>
  <c r="F28" i="24"/>
  <c r="E28" i="24"/>
  <c r="R27" i="24"/>
  <c r="Q27" i="24"/>
  <c r="O27" i="24"/>
  <c r="N27" i="24"/>
  <c r="L27" i="24"/>
  <c r="K27" i="24"/>
  <c r="I27" i="24"/>
  <c r="H27" i="24"/>
  <c r="F27" i="24"/>
  <c r="E27" i="24"/>
  <c r="R26" i="24"/>
  <c r="Q26" i="24"/>
  <c r="O26" i="24"/>
  <c r="N26" i="24"/>
  <c r="L26" i="24"/>
  <c r="K26" i="24"/>
  <c r="I26" i="24"/>
  <c r="H26" i="24"/>
  <c r="F26" i="24"/>
  <c r="E26" i="24"/>
  <c r="R25" i="24"/>
  <c r="Q25" i="24"/>
  <c r="O25" i="24"/>
  <c r="N25" i="24"/>
  <c r="L25" i="24"/>
  <c r="K25" i="24"/>
  <c r="I25" i="24"/>
  <c r="H25" i="24"/>
  <c r="F25" i="24"/>
  <c r="E25" i="24"/>
  <c r="R24" i="24"/>
  <c r="Q24" i="24"/>
  <c r="O24" i="24"/>
  <c r="N24" i="24"/>
  <c r="L24" i="24"/>
  <c r="K24" i="24"/>
  <c r="I24" i="24"/>
  <c r="H24" i="24"/>
  <c r="F24" i="24"/>
  <c r="E24" i="24"/>
  <c r="R23" i="24"/>
  <c r="Q23" i="24"/>
  <c r="O23" i="24"/>
  <c r="N23" i="24"/>
  <c r="L23" i="24"/>
  <c r="K23" i="24"/>
  <c r="I23" i="24"/>
  <c r="H23" i="24"/>
  <c r="F23" i="24"/>
  <c r="E23" i="24"/>
  <c r="R22" i="24"/>
  <c r="Q22" i="24"/>
  <c r="O22" i="24"/>
  <c r="N22" i="24"/>
  <c r="L22" i="24"/>
  <c r="K22" i="24"/>
  <c r="I22" i="24"/>
  <c r="H22" i="24"/>
  <c r="F22" i="24"/>
  <c r="E22" i="24"/>
  <c r="R21" i="24"/>
  <c r="Q21" i="24"/>
  <c r="O21" i="24"/>
  <c r="N21" i="24"/>
  <c r="L21" i="24"/>
  <c r="K21" i="24"/>
  <c r="I21" i="24"/>
  <c r="H21" i="24"/>
  <c r="F21" i="24"/>
  <c r="E21" i="24"/>
  <c r="R20" i="24"/>
  <c r="Q20" i="24"/>
  <c r="O20" i="24"/>
  <c r="N20" i="24"/>
  <c r="L20" i="24"/>
  <c r="K20" i="24"/>
  <c r="I20" i="24"/>
  <c r="H20" i="24"/>
  <c r="F20" i="24"/>
  <c r="E20" i="24"/>
  <c r="R19" i="24"/>
  <c r="Q19" i="24"/>
  <c r="O19" i="24"/>
  <c r="N19" i="24"/>
  <c r="L19" i="24"/>
  <c r="K19" i="24"/>
  <c r="I19" i="24"/>
  <c r="H19" i="24"/>
  <c r="F19" i="24"/>
  <c r="E19" i="24"/>
  <c r="R18" i="24"/>
  <c r="Q18" i="24"/>
  <c r="O18" i="24"/>
  <c r="N18" i="24"/>
  <c r="L18" i="24"/>
  <c r="K18" i="24"/>
  <c r="I18" i="24"/>
  <c r="H18" i="24"/>
  <c r="F18" i="24"/>
  <c r="E18" i="24"/>
  <c r="R17" i="24"/>
  <c r="Q17" i="24"/>
  <c r="O17" i="24"/>
  <c r="N17" i="24"/>
  <c r="L17" i="24"/>
  <c r="K17" i="24"/>
  <c r="I17" i="24"/>
  <c r="H17" i="24"/>
  <c r="F17" i="24"/>
  <c r="E17" i="24"/>
  <c r="R16" i="24"/>
  <c r="Q16" i="24"/>
  <c r="O16" i="24"/>
  <c r="N16" i="24"/>
  <c r="L16" i="24"/>
  <c r="K16" i="24"/>
  <c r="I16" i="24"/>
  <c r="H16" i="24"/>
  <c r="F16" i="24"/>
  <c r="E16" i="24"/>
  <c r="R15" i="24"/>
  <c r="Q15" i="24"/>
  <c r="O15" i="24"/>
  <c r="N15" i="24"/>
  <c r="L15" i="24"/>
  <c r="K15" i="24"/>
  <c r="I15" i="24"/>
  <c r="H15" i="24"/>
  <c r="F15" i="24"/>
  <c r="E15" i="24"/>
  <c r="R5" i="24"/>
  <c r="Q5" i="24"/>
  <c r="O5" i="24"/>
  <c r="N5" i="24"/>
  <c r="L5" i="24"/>
  <c r="K5" i="24"/>
  <c r="I5" i="24"/>
  <c r="H5" i="24"/>
  <c r="F5" i="24"/>
  <c r="E5" i="24"/>
</calcChain>
</file>

<file path=xl/connections.xml><?xml version="1.0" encoding="utf-8"?>
<connections xmlns="http://schemas.openxmlformats.org/spreadsheetml/2006/main">
  <connection id="1" name="EPEE.LINE.C-HELD.csv" type="6" refreshedVersion="0" background="1" saveData="1">
    <textPr fileType="mac" sourceFile="Macintosh:Users:jeromedrouin:Documents:Arduino:Projects:WORK_CapacitiveSensors:Weapon Data:Weapon Data - DISTRIBUTION:EPEE.LINE.C-HELD.csv" comma="1" semicolon="1">
      <textFields count="5">
        <textField/>
        <textField/>
        <textField/>
        <textField/>
        <textField/>
      </textFields>
    </textPr>
  </connection>
  <connection id="2" name="FOIL.LINE.A-HELD +WPN.csv" type="6" refreshedVersion="0" background="1" saveData="1">
    <textPr fileType="mac" sourceFile="Macintosh:Users:jeromedrouin:Documents:Arduino:Projects:WORK_CapacitiveSensors:Weapon Data:Weapon Data - DISTRIBUTION:FOIL.LINE.A-HELD +WPN.csv" comma="1" semicolon="1">
      <textFields count="5">
        <textField/>
        <textField/>
        <textField/>
        <textField/>
        <textField/>
      </textFields>
    </textPr>
  </connection>
  <connection id="3" name="FOIL.LINE.A-HELD.csv" type="6" refreshedVersion="0" background="1" saveData="1">
    <textPr fileType="mac" sourceFile="Macintosh:Users:jeromedrouin:Documents:Arduino:Projects:WORK_CapacitiveSensors:Weapon Data:Weapon Data - DISTRIBUTION:FOIL.LINE.A-HELD.csv" comma="1" semicolon="1">
      <textFields count="5">
        <textField/>
        <textField/>
        <textField/>
        <textField/>
        <textField/>
      </textFields>
    </textPr>
  </connection>
  <connection id="4" name="FOIL.LINE.C-HELD.csv" type="6" refreshedVersion="0" background="1" saveData="1">
    <textPr fileType="mac" sourceFile="Macintosh:Users:jeromedrouin:Documents:Arduino:Projects:WORK_CapacitiveSensors:Weapon Data:Weapon Data - DISTRIBUTION:FOIL.LINE.C-HELD.csv" comma="1" semicolon="1">
      <textFields count="5">
        <textField/>
        <textField/>
        <textField/>
        <textField/>
        <textField/>
      </textFields>
    </textPr>
  </connection>
  <connection id="5" name="RAW.csv" type="6" refreshedVersion="0" background="1" saveData="1">
    <textPr fileType="mac" sourceFile="Macintosh:Users:jeromedrouin:Downloads:RAW.csv" tab="0" semicolon="1" qualifier="none">
      <textFields count="4">
        <textField/>
        <textField/>
        <textField/>
        <textField/>
      </textFields>
    </textPr>
  </connection>
  <connection id="6" name="RAW.txt" type="6" refreshedVersion="0" background="1" saveData="1">
    <textPr fileType="mac" sourceFile="Macintosh:Users:jeromedrouin:Downloads:RAW.txt" space="1" consecutive="1">
      <textFields count="4">
        <textField/>
        <textField/>
        <textField/>
        <textField/>
      </textFields>
    </textPr>
  </connection>
  <connection id="7" name="RAW.txt1" type="6" refreshedVersion="0" background="1" saveData="1">
    <textPr fileType="mac" sourceFile="Macintosh:Users:jeromedrouin:Downloads:RAW.txt" space="1" consecutive="1">
      <textFields count="4">
        <textField/>
        <textField/>
        <textField/>
        <textField/>
      </textFields>
    </textPr>
  </connection>
  <connection id="8" name="raw2.csv" type="6" refreshedVersion="0" background="1" saveData="1">
    <textPr fileType="mac" sourceFile="Macintosh:Users:jeromedrouin:Downloads:raw2.csv" tab="0" semicolon="1">
      <textFields count="4">
        <textField/>
        <textField/>
        <textField/>
        <textField/>
      </textFields>
    </textPr>
  </connection>
  <connection id="9" name="raw3.csv" type="6" refreshedVersion="0" background="1" saveData="1">
    <textPr fileType="mac" sourceFile="Macintosh:Users:jeromedrouin:Downloads:raw3.csv" tab="0" semicolon="1">
      <textFields count="4">
        <textField/>
        <textField/>
        <textField/>
        <textField/>
      </textFields>
    </textPr>
  </connection>
  <connection id="10" name="raw3.csv1" type="6" refreshedVersion="0" background="1" saveData="1">
    <textPr fileType="mac" sourceFile="Macintosh:Users:jeromedrouin:Downloads:raw3.csv" tab="0" semicolon="1">
      <textFields count="4">
        <textField/>
        <textField/>
        <textField/>
        <textField/>
      </textFields>
    </textPr>
  </connection>
  <connection id="11" name="raw3.csv2" type="6" refreshedVersion="0" background="1" saveData="1">
    <textPr fileType="mac" sourceFile="Macintosh:Users:jeromedrouin:Downloads:raw3.csv" tab="0" semicolon="1">
      <textFields count="4">
        <textField/>
        <textField/>
        <textField/>
        <textField/>
      </textFields>
    </textPr>
  </connection>
  <connection id="12" name="raw3.csv3" type="6" refreshedVersion="0" background="1" saveData="1">
    <textPr fileType="mac" sourceFile="Macintosh:Users:jeromedrouin:Downloads:raw3.csv" tab="0" semicolon="1">
      <textFields count="4">
        <textField/>
        <textField/>
        <textField/>
        <textField/>
      </textFields>
    </textPr>
  </connection>
  <connection id="13" name="raw4.csv" type="6" refreshedVersion="0" background="1" saveData="1">
    <textPr fileType="mac" sourceFile="Macintosh:Users:jeromedrouin:Downloads:raw4.csv" tab="0" semicolon="1">
      <textFields count="4">
        <textField/>
        <textField/>
        <textField/>
        <textField/>
      </textFields>
    </textPr>
  </connection>
  <connection id="14" name="raw4.csv1" type="6" refreshedVersion="0" background="1" saveData="1">
    <textPr fileType="mac" sourceFile="Macintosh:Users:jeromedrouin:Downloads:raw4.csv" tab="0" semicolon="1">
      <textFields count="4">
        <textField/>
        <textField/>
        <textField/>
        <textField/>
      </textFields>
    </textPr>
  </connection>
  <connection id="15" name="raw5.csv" type="6" refreshedVersion="0" background="1" saveData="1">
    <textPr fileType="mac" sourceFile="Macintosh:Users:jeromedrouin:Downloads:raw5.csv" tab="0" semicolon="1">
      <textFields count="4">
        <textField/>
        <textField/>
        <textField/>
        <textField/>
      </textFields>
    </textPr>
  </connection>
  <connection id="16" name="raw5.csv1" type="6" refreshedVersion="0" background="1" saveData="1">
    <textPr fileType="mac" sourceFile="Macintosh:Users:jeromedrouin:Downloads:raw5.csv" tab="0" semicolon="1">
      <textFields count="4">
        <textField/>
        <textField/>
        <textField/>
        <textField/>
      </textFields>
    </textPr>
  </connection>
  <connection id="17" name="Untitled.csv" type="6" refreshedVersion="0" background="1" saveData="1">
    <textPr fileType="mac" sourceFile="Macintosh:Users:jeromedrouin:Downloads:Untitled.csv" comma="1" semicolon="1">
      <textFields count="5"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<sst xmlns="http://schemas.openxmlformats.org/spreadsheetml/2006/main" count="4" uniqueCount="4">
  <si>
    <r>
      <t>Alpha(</t>
    </r>
    <r>
      <rPr>
        <sz val="12"/>
        <color theme="1"/>
        <rFont val="Symbol"/>
      </rPr>
      <t>ab</t>
    </r>
    <r>
      <rPr>
        <sz val="12"/>
        <color theme="1"/>
        <rFont val="Calibri"/>
        <family val="2"/>
        <charset val="129"/>
        <scheme val="minor"/>
      </rPr>
      <t>)</t>
    </r>
  </si>
  <si>
    <r>
      <t>Beta(</t>
    </r>
    <r>
      <rPr>
        <sz val="12"/>
        <color theme="1"/>
        <rFont val="Symbol"/>
      </rPr>
      <t>b</t>
    </r>
    <r>
      <rPr>
        <sz val="12"/>
        <color theme="1"/>
        <rFont val="Calibri"/>
        <family val="2"/>
        <charset val="129"/>
        <scheme val="minor"/>
      </rPr>
      <t>)</t>
    </r>
  </si>
  <si>
    <t>Start</t>
  </si>
  <si>
    <t>incr: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</si>
</sst>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00"/>
  </numFmts>
  <fonts count="7" x14ac:knownFonts="1">
    <font>
      <sz val="12"/>
      <color theme="1"/>
      <name val="Calibri"/>
      <family val="2"/>
      <charset val="129"/>
      <scheme val="minor"/>
    </font>
    <font>
      <b/>
      <sz val="12"/>
      <color theme="1"/>
      <name val="Calibri"/>
      <family val="2"/>
      <charset val="129"/>
      <scheme val="minor"/>
    </font>
    <font>
      <sz val="12"/>
      <color theme="0"/>
      <name val="Calibri"/>
      <family val="2"/>
      <charset val="129"/>
      <scheme val="minor"/>
    </font>
    <font>
      <u/>
      <sz val="12"/>
      <color theme="10"/>
      <name val="Calibri"/>
      <family val="2"/>
      <charset val="129"/>
      <scheme val="minor"/>
    </font>
    <font>
      <u/>
      <sz val="12"/>
      <color theme="11"/>
      <name val="Calibri"/>
      <family val="2"/>
      <charset val="129"/>
      <scheme val="minor"/>
    </font>
    <font>
      <sz val="12"/>
      <color rgb="FF0000FF"/>
      <name val="Calibri"/>
      <scheme val="minor"/>
    </font>
    <font>
      <sz val="12"/>
      <color theme="1"/>
      <name val="Symbol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1">
    <border>
      <left/>
      <right/>
      <top/>
      <bottom/>
      <diagonal/>
    </border>
  </borders>
  <cellStyleXfs count="49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9">
    <xf numFmtId="0" fontId="0" fillId="0" borderId="0" xfId="0"/>
    <xf numFmtId="0" fontId="2" fillId="2" borderId="0" xfId="0" applyFont="1" applyFill="1"/>
    <xf numFmtId="0" fontId="0" fillId="3" borderId="0" xfId="0" applyFill="1"/>
    <xf numFmtId="0" fontId="5" fillId="4" borderId="0" xfId="0" applyFont="1" applyFill="1"/>
    <xf numFmtId="164" fontId="1" fillId="0" borderId="0" xfId="0" applyNumberFormat="1" applyFont="1"/>
    <xf numFmtId="164" fontId="1" fillId="3" borderId="0" xfId="0" applyNumberFormat="1" applyFont="1" applyFill="1"/>
    <xf numFmtId="165" fontId="0" fillId="0" borderId="0" xfId="0" applyNumberFormat="1"/>
    <xf numFmtId="165" fontId="0" fillId="3" borderId="0" xfId="0" applyNumberFormat="1" applyFill="1"/>
    <xf numFmtId="0" fontId="6" fillId="0" borderId="0" xfId="0" applyFont="1"/>
  </cellXfs>
  <cellStyles count="49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607168107483068"/>
          <c:y val="0.0171981030780243"/>
          <c:w val="0.720589998403086"/>
          <c:h val="0.94254190618810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'Gamma_k,theta'!$H$4</c:f>
              <c:strCache>
                <c:ptCount val="1"/>
                <c:pt idx="0">
                  <c:v>B(a=5;b=1)-PDF</c:v>
                </c:pt>
              </c:strCache>
            </c:strRef>
          </c:tx>
          <c:spPr>
            <a:ln w="22225"/>
          </c:spPr>
          <c:marker>
            <c:symbol val="none"/>
          </c:marker>
          <c:xVal>
            <c:numRef>
              <c:f>'Gamma_k,theta'!$C$5:$C$66</c:f>
              <c:numCache>
                <c:formatCode>0.000</c:formatCode>
                <c:ptCount val="62"/>
                <c:pt idx="0">
                  <c:v>0.0</c:v>
                </c:pt>
                <c:pt idx="1">
                  <c:v>0.001</c:v>
                </c:pt>
                <c:pt idx="2">
                  <c:v>0.002</c:v>
                </c:pt>
                <c:pt idx="3">
                  <c:v>0.003</c:v>
                </c:pt>
                <c:pt idx="4">
                  <c:v>0.004</c:v>
                </c:pt>
                <c:pt idx="5">
                  <c:v>0.005</c:v>
                </c:pt>
                <c:pt idx="6">
                  <c:v>0.006</c:v>
                </c:pt>
                <c:pt idx="7">
                  <c:v>0.007</c:v>
                </c:pt>
                <c:pt idx="8">
                  <c:v>0.008</c:v>
                </c:pt>
                <c:pt idx="9">
                  <c:v>0.009</c:v>
                </c:pt>
                <c:pt idx="10">
                  <c:v>0.01</c:v>
                </c:pt>
                <c:pt idx="11">
                  <c:v>0.035</c:v>
                </c:pt>
                <c:pt idx="12">
                  <c:v>0.06</c:v>
                </c:pt>
                <c:pt idx="13">
                  <c:v>0.085</c:v>
                </c:pt>
                <c:pt idx="14">
                  <c:v>0.11</c:v>
                </c:pt>
                <c:pt idx="15">
                  <c:v>0.135</c:v>
                </c:pt>
                <c:pt idx="16">
                  <c:v>0.16</c:v>
                </c:pt>
                <c:pt idx="17">
                  <c:v>0.185</c:v>
                </c:pt>
                <c:pt idx="18">
                  <c:v>0.21</c:v>
                </c:pt>
                <c:pt idx="19">
                  <c:v>0.235</c:v>
                </c:pt>
                <c:pt idx="20">
                  <c:v>0.26</c:v>
                </c:pt>
                <c:pt idx="21">
                  <c:v>0.285</c:v>
                </c:pt>
                <c:pt idx="22">
                  <c:v>0.31</c:v>
                </c:pt>
                <c:pt idx="23">
                  <c:v>0.335</c:v>
                </c:pt>
                <c:pt idx="24">
                  <c:v>0.36</c:v>
                </c:pt>
                <c:pt idx="25">
                  <c:v>0.385</c:v>
                </c:pt>
                <c:pt idx="26">
                  <c:v>0.41</c:v>
                </c:pt>
                <c:pt idx="27">
                  <c:v>0.435</c:v>
                </c:pt>
                <c:pt idx="28">
                  <c:v>0.46</c:v>
                </c:pt>
                <c:pt idx="29">
                  <c:v>0.485</c:v>
                </c:pt>
                <c:pt idx="30">
                  <c:v>0.51</c:v>
                </c:pt>
                <c:pt idx="31">
                  <c:v>0.535</c:v>
                </c:pt>
                <c:pt idx="32">
                  <c:v>0.56</c:v>
                </c:pt>
                <c:pt idx="33">
                  <c:v>0.585</c:v>
                </c:pt>
                <c:pt idx="34">
                  <c:v>0.61</c:v>
                </c:pt>
                <c:pt idx="35">
                  <c:v>0.635</c:v>
                </c:pt>
                <c:pt idx="36">
                  <c:v>0.66</c:v>
                </c:pt>
                <c:pt idx="37">
                  <c:v>0.685</c:v>
                </c:pt>
                <c:pt idx="38">
                  <c:v>0.71</c:v>
                </c:pt>
                <c:pt idx="39">
                  <c:v>0.735</c:v>
                </c:pt>
                <c:pt idx="40">
                  <c:v>0.76</c:v>
                </c:pt>
                <c:pt idx="41">
                  <c:v>0.785</c:v>
                </c:pt>
                <c:pt idx="42">
                  <c:v>0.81</c:v>
                </c:pt>
                <c:pt idx="43">
                  <c:v>0.835</c:v>
                </c:pt>
                <c:pt idx="44">
                  <c:v>0.86</c:v>
                </c:pt>
                <c:pt idx="45">
                  <c:v>0.885000000000001</c:v>
                </c:pt>
                <c:pt idx="46">
                  <c:v>0.910000000000001</c:v>
                </c:pt>
                <c:pt idx="47">
                  <c:v>0.920000000000001</c:v>
                </c:pt>
                <c:pt idx="48">
                  <c:v>0.930000000000001</c:v>
                </c:pt>
                <c:pt idx="49">
                  <c:v>0.940000000000001</c:v>
                </c:pt>
                <c:pt idx="50">
                  <c:v>0.950000000000001</c:v>
                </c:pt>
                <c:pt idx="51">
                  <c:v>0.960000000000001</c:v>
                </c:pt>
                <c:pt idx="52">
                  <c:v>0.970000000000001</c:v>
                </c:pt>
                <c:pt idx="53">
                  <c:v>0.980000000000001</c:v>
                </c:pt>
                <c:pt idx="54">
                  <c:v>0.990000000000001</c:v>
                </c:pt>
                <c:pt idx="55">
                  <c:v>1.000000000000001</c:v>
                </c:pt>
                <c:pt idx="56">
                  <c:v>1.010000000000001</c:v>
                </c:pt>
                <c:pt idx="57">
                  <c:v>1.020000000000001</c:v>
                </c:pt>
                <c:pt idx="58">
                  <c:v>1.030000000000001</c:v>
                </c:pt>
                <c:pt idx="59">
                  <c:v>1.040000000000001</c:v>
                </c:pt>
                <c:pt idx="60">
                  <c:v>1.050000000000001</c:v>
                </c:pt>
                <c:pt idx="61">
                  <c:v>1.060000000000001</c:v>
                </c:pt>
              </c:numCache>
            </c:numRef>
          </c:xVal>
          <c:yVal>
            <c:numRef>
              <c:f>'Gamma_k,theta'!$H$5:$H$66</c:f>
              <c:numCache>
                <c:formatCode>0.000000</c:formatCode>
                <c:ptCount val="62"/>
                <c:pt idx="0">
                  <c:v>0.0</c:v>
                </c:pt>
                <c:pt idx="1">
                  <c:v>5.0E-12</c:v>
                </c:pt>
                <c:pt idx="2">
                  <c:v>8.00000000000001E-11</c:v>
                </c:pt>
                <c:pt idx="3">
                  <c:v>4.04999999999999E-10</c:v>
                </c:pt>
                <c:pt idx="4">
                  <c:v>1.28E-9</c:v>
                </c:pt>
                <c:pt idx="5">
                  <c:v>3.125E-9</c:v>
                </c:pt>
                <c:pt idx="6">
                  <c:v>6.48E-9</c:v>
                </c:pt>
                <c:pt idx="7">
                  <c:v>1.2005E-8</c:v>
                </c:pt>
                <c:pt idx="8">
                  <c:v>2.048E-8</c:v>
                </c:pt>
                <c:pt idx="9">
                  <c:v>3.2805E-8</c:v>
                </c:pt>
                <c:pt idx="10">
                  <c:v>5.00000000000001E-8</c:v>
                </c:pt>
                <c:pt idx="11">
                  <c:v>7.503125E-6</c:v>
                </c:pt>
                <c:pt idx="12">
                  <c:v>6.48E-5</c:v>
                </c:pt>
                <c:pt idx="13">
                  <c:v>0.000261003125</c:v>
                </c:pt>
                <c:pt idx="14">
                  <c:v>0.00073205</c:v>
                </c:pt>
                <c:pt idx="15">
                  <c:v>0.001660753125</c:v>
                </c:pt>
                <c:pt idx="16">
                  <c:v>0.0032768</c:v>
                </c:pt>
                <c:pt idx="17">
                  <c:v>0.005856753125</c:v>
                </c:pt>
                <c:pt idx="18">
                  <c:v>0.00972405</c:v>
                </c:pt>
                <c:pt idx="19">
                  <c:v>0.015249003125</c:v>
                </c:pt>
                <c:pt idx="20">
                  <c:v>0.0228488</c:v>
                </c:pt>
                <c:pt idx="21">
                  <c:v>0.032987503125</c:v>
                </c:pt>
                <c:pt idx="22">
                  <c:v>0.04617605</c:v>
                </c:pt>
                <c:pt idx="23">
                  <c:v>0.062972253125</c:v>
                </c:pt>
                <c:pt idx="24">
                  <c:v>0.0839808000000001</c:v>
                </c:pt>
                <c:pt idx="25">
                  <c:v>0.109853253125</c:v>
                </c:pt>
                <c:pt idx="26">
                  <c:v>0.14128805</c:v>
                </c:pt>
                <c:pt idx="27">
                  <c:v>0.179030503125</c:v>
                </c:pt>
                <c:pt idx="28">
                  <c:v>0.2238728</c:v>
                </c:pt>
                <c:pt idx="29">
                  <c:v>0.276654003125</c:v>
                </c:pt>
                <c:pt idx="30">
                  <c:v>0.33826005</c:v>
                </c:pt>
                <c:pt idx="31">
                  <c:v>0.409623753125001</c:v>
                </c:pt>
                <c:pt idx="32">
                  <c:v>0.491724800000001</c:v>
                </c:pt>
                <c:pt idx="33">
                  <c:v>0.585589753125001</c:v>
                </c:pt>
                <c:pt idx="34">
                  <c:v>0.692292050000001</c:v>
                </c:pt>
                <c:pt idx="35">
                  <c:v>0.812952003125002</c:v>
                </c:pt>
                <c:pt idx="36">
                  <c:v>0.948736800000002</c:v>
                </c:pt>
                <c:pt idx="37">
                  <c:v>1.100860503125002</c:v>
                </c:pt>
                <c:pt idx="38">
                  <c:v>1.270584050000003</c:v>
                </c:pt>
                <c:pt idx="39">
                  <c:v>1.459215253125003</c:v>
                </c:pt>
                <c:pt idx="40">
                  <c:v>1.668108800000004</c:v>
                </c:pt>
                <c:pt idx="41">
                  <c:v>1.898666253125004</c:v>
                </c:pt>
                <c:pt idx="42">
                  <c:v>2.152336050000005</c:v>
                </c:pt>
                <c:pt idx="43">
                  <c:v>2.430613503125006</c:v>
                </c:pt>
                <c:pt idx="44">
                  <c:v>2.735040800000007</c:v>
                </c:pt>
                <c:pt idx="45">
                  <c:v>3.067207003125008</c:v>
                </c:pt>
                <c:pt idx="46">
                  <c:v>3.428748050000009</c:v>
                </c:pt>
                <c:pt idx="47">
                  <c:v>3.581964800000009</c:v>
                </c:pt>
                <c:pt idx="48">
                  <c:v>3.74026005000001</c:v>
                </c:pt>
                <c:pt idx="49">
                  <c:v>3.90374480000001</c:v>
                </c:pt>
                <c:pt idx="50">
                  <c:v>4.072531250000011</c:v>
                </c:pt>
                <c:pt idx="51">
                  <c:v>4.246732800000011</c:v>
                </c:pt>
                <c:pt idx="52">
                  <c:v>4.426464050000011</c:v>
                </c:pt>
                <c:pt idx="53">
                  <c:v>4.611840800000012</c:v>
                </c:pt>
                <c:pt idx="54">
                  <c:v>4.802980050000012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</c:numCache>
            </c:numRef>
          </c:yVal>
          <c:smooth val="1"/>
        </c:ser>
        <c:ser>
          <c:idx val="3"/>
          <c:order val="1"/>
          <c:tx>
            <c:strRef>
              <c:f>'Gamma_k,theta'!$K$4</c:f>
              <c:strCache>
                <c:ptCount val="1"/>
                <c:pt idx="0">
                  <c:v>B(a=1;b=3)-PDF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'Gamma_k,theta'!$C$5:$C$66</c:f>
              <c:numCache>
                <c:formatCode>0.000</c:formatCode>
                <c:ptCount val="62"/>
                <c:pt idx="0">
                  <c:v>0.0</c:v>
                </c:pt>
                <c:pt idx="1">
                  <c:v>0.001</c:v>
                </c:pt>
                <c:pt idx="2">
                  <c:v>0.002</c:v>
                </c:pt>
                <c:pt idx="3">
                  <c:v>0.003</c:v>
                </c:pt>
                <c:pt idx="4">
                  <c:v>0.004</c:v>
                </c:pt>
                <c:pt idx="5">
                  <c:v>0.005</c:v>
                </c:pt>
                <c:pt idx="6">
                  <c:v>0.006</c:v>
                </c:pt>
                <c:pt idx="7">
                  <c:v>0.007</c:v>
                </c:pt>
                <c:pt idx="8">
                  <c:v>0.008</c:v>
                </c:pt>
                <c:pt idx="9">
                  <c:v>0.009</c:v>
                </c:pt>
                <c:pt idx="10">
                  <c:v>0.01</c:v>
                </c:pt>
                <c:pt idx="11">
                  <c:v>0.035</c:v>
                </c:pt>
                <c:pt idx="12">
                  <c:v>0.06</c:v>
                </c:pt>
                <c:pt idx="13">
                  <c:v>0.085</c:v>
                </c:pt>
                <c:pt idx="14">
                  <c:v>0.11</c:v>
                </c:pt>
                <c:pt idx="15">
                  <c:v>0.135</c:v>
                </c:pt>
                <c:pt idx="16">
                  <c:v>0.16</c:v>
                </c:pt>
                <c:pt idx="17">
                  <c:v>0.185</c:v>
                </c:pt>
                <c:pt idx="18">
                  <c:v>0.21</c:v>
                </c:pt>
                <c:pt idx="19">
                  <c:v>0.235</c:v>
                </c:pt>
                <c:pt idx="20">
                  <c:v>0.26</c:v>
                </c:pt>
                <c:pt idx="21">
                  <c:v>0.285</c:v>
                </c:pt>
                <c:pt idx="22">
                  <c:v>0.31</c:v>
                </c:pt>
                <c:pt idx="23">
                  <c:v>0.335</c:v>
                </c:pt>
                <c:pt idx="24">
                  <c:v>0.36</c:v>
                </c:pt>
                <c:pt idx="25">
                  <c:v>0.385</c:v>
                </c:pt>
                <c:pt idx="26">
                  <c:v>0.41</c:v>
                </c:pt>
                <c:pt idx="27">
                  <c:v>0.435</c:v>
                </c:pt>
                <c:pt idx="28">
                  <c:v>0.46</c:v>
                </c:pt>
                <c:pt idx="29">
                  <c:v>0.485</c:v>
                </c:pt>
                <c:pt idx="30">
                  <c:v>0.51</c:v>
                </c:pt>
                <c:pt idx="31">
                  <c:v>0.535</c:v>
                </c:pt>
                <c:pt idx="32">
                  <c:v>0.56</c:v>
                </c:pt>
                <c:pt idx="33">
                  <c:v>0.585</c:v>
                </c:pt>
                <c:pt idx="34">
                  <c:v>0.61</c:v>
                </c:pt>
                <c:pt idx="35">
                  <c:v>0.635</c:v>
                </c:pt>
                <c:pt idx="36">
                  <c:v>0.66</c:v>
                </c:pt>
                <c:pt idx="37">
                  <c:v>0.685</c:v>
                </c:pt>
                <c:pt idx="38">
                  <c:v>0.71</c:v>
                </c:pt>
                <c:pt idx="39">
                  <c:v>0.735</c:v>
                </c:pt>
                <c:pt idx="40">
                  <c:v>0.76</c:v>
                </c:pt>
                <c:pt idx="41">
                  <c:v>0.785</c:v>
                </c:pt>
                <c:pt idx="42">
                  <c:v>0.81</c:v>
                </c:pt>
                <c:pt idx="43">
                  <c:v>0.835</c:v>
                </c:pt>
                <c:pt idx="44">
                  <c:v>0.86</c:v>
                </c:pt>
                <c:pt idx="45">
                  <c:v>0.885000000000001</c:v>
                </c:pt>
                <c:pt idx="46">
                  <c:v>0.910000000000001</c:v>
                </c:pt>
                <c:pt idx="47">
                  <c:v>0.920000000000001</c:v>
                </c:pt>
                <c:pt idx="48">
                  <c:v>0.930000000000001</c:v>
                </c:pt>
                <c:pt idx="49">
                  <c:v>0.940000000000001</c:v>
                </c:pt>
                <c:pt idx="50">
                  <c:v>0.950000000000001</c:v>
                </c:pt>
                <c:pt idx="51">
                  <c:v>0.960000000000001</c:v>
                </c:pt>
                <c:pt idx="52">
                  <c:v>0.970000000000001</c:v>
                </c:pt>
                <c:pt idx="53">
                  <c:v>0.980000000000001</c:v>
                </c:pt>
                <c:pt idx="54">
                  <c:v>0.990000000000001</c:v>
                </c:pt>
                <c:pt idx="55">
                  <c:v>1.000000000000001</c:v>
                </c:pt>
                <c:pt idx="56">
                  <c:v>1.010000000000001</c:v>
                </c:pt>
                <c:pt idx="57">
                  <c:v>1.020000000000001</c:v>
                </c:pt>
                <c:pt idx="58">
                  <c:v>1.030000000000001</c:v>
                </c:pt>
                <c:pt idx="59">
                  <c:v>1.040000000000001</c:v>
                </c:pt>
                <c:pt idx="60">
                  <c:v>1.050000000000001</c:v>
                </c:pt>
                <c:pt idx="61">
                  <c:v>1.060000000000001</c:v>
                </c:pt>
              </c:numCache>
            </c:numRef>
          </c:xVal>
          <c:yVal>
            <c:numRef>
              <c:f>'Gamma_k,theta'!$K$5:$K$66</c:f>
              <c:numCache>
                <c:formatCode>0.000000</c:formatCode>
                <c:ptCount val="62"/>
                <c:pt idx="0">
                  <c:v>0.0</c:v>
                </c:pt>
                <c:pt idx="1">
                  <c:v>2.994003</c:v>
                </c:pt>
                <c:pt idx="2">
                  <c:v>2.988012</c:v>
                </c:pt>
                <c:pt idx="3">
                  <c:v>2.982027</c:v>
                </c:pt>
                <c:pt idx="4">
                  <c:v>2.976048</c:v>
                </c:pt>
                <c:pt idx="5">
                  <c:v>2.970075</c:v>
                </c:pt>
                <c:pt idx="6">
                  <c:v>2.964108</c:v>
                </c:pt>
                <c:pt idx="7">
                  <c:v>2.958147</c:v>
                </c:pt>
                <c:pt idx="8">
                  <c:v>2.952192</c:v>
                </c:pt>
                <c:pt idx="9">
                  <c:v>2.946243</c:v>
                </c:pt>
                <c:pt idx="10">
                  <c:v>2.9403</c:v>
                </c:pt>
                <c:pt idx="11">
                  <c:v>2.793675</c:v>
                </c:pt>
                <c:pt idx="12">
                  <c:v>2.6508</c:v>
                </c:pt>
                <c:pt idx="13">
                  <c:v>2.511675</c:v>
                </c:pt>
                <c:pt idx="14">
                  <c:v>2.3763</c:v>
                </c:pt>
                <c:pt idx="15">
                  <c:v>2.244675</c:v>
                </c:pt>
                <c:pt idx="16">
                  <c:v>2.1168</c:v>
                </c:pt>
                <c:pt idx="17">
                  <c:v>1.992675</c:v>
                </c:pt>
                <c:pt idx="18">
                  <c:v>1.8723</c:v>
                </c:pt>
                <c:pt idx="19">
                  <c:v>1.755675</c:v>
                </c:pt>
                <c:pt idx="20">
                  <c:v>1.6428</c:v>
                </c:pt>
                <c:pt idx="21">
                  <c:v>1.533675</c:v>
                </c:pt>
                <c:pt idx="22">
                  <c:v>1.4283</c:v>
                </c:pt>
                <c:pt idx="23">
                  <c:v>1.326675</c:v>
                </c:pt>
                <c:pt idx="24">
                  <c:v>1.2288</c:v>
                </c:pt>
                <c:pt idx="25">
                  <c:v>1.134675</c:v>
                </c:pt>
                <c:pt idx="26">
                  <c:v>1.0443</c:v>
                </c:pt>
                <c:pt idx="27">
                  <c:v>0.957675</c:v>
                </c:pt>
                <c:pt idx="28">
                  <c:v>0.8748</c:v>
                </c:pt>
                <c:pt idx="29">
                  <c:v>0.795674999999999</c:v>
                </c:pt>
                <c:pt idx="30">
                  <c:v>0.720299999999999</c:v>
                </c:pt>
                <c:pt idx="31">
                  <c:v>0.648674999999999</c:v>
                </c:pt>
                <c:pt idx="32">
                  <c:v>0.580799999999999</c:v>
                </c:pt>
                <c:pt idx="33">
                  <c:v>0.516674999999999</c:v>
                </c:pt>
                <c:pt idx="34">
                  <c:v>0.456299999999999</c:v>
                </c:pt>
                <c:pt idx="35">
                  <c:v>0.399674999999999</c:v>
                </c:pt>
                <c:pt idx="36">
                  <c:v>0.346799999999999</c:v>
                </c:pt>
                <c:pt idx="37">
                  <c:v>0.297674999999999</c:v>
                </c:pt>
                <c:pt idx="38">
                  <c:v>0.252299999999999</c:v>
                </c:pt>
                <c:pt idx="39">
                  <c:v>0.210674999999999</c:v>
                </c:pt>
                <c:pt idx="40">
                  <c:v>0.172799999999999</c:v>
                </c:pt>
                <c:pt idx="41">
                  <c:v>0.138674999999999</c:v>
                </c:pt>
                <c:pt idx="42">
                  <c:v>0.108299999999999</c:v>
                </c:pt>
                <c:pt idx="43">
                  <c:v>0.0816749999999995</c:v>
                </c:pt>
                <c:pt idx="44">
                  <c:v>0.0587999999999995</c:v>
                </c:pt>
                <c:pt idx="45">
                  <c:v>0.0396749999999996</c:v>
                </c:pt>
                <c:pt idx="46">
                  <c:v>0.0242999999999997</c:v>
                </c:pt>
                <c:pt idx="47">
                  <c:v>0.0191999999999997</c:v>
                </c:pt>
                <c:pt idx="48">
                  <c:v>0.0146999999999997</c:v>
                </c:pt>
                <c:pt idx="49">
                  <c:v>0.0107999999999998</c:v>
                </c:pt>
                <c:pt idx="50">
                  <c:v>0.00749999999999981</c:v>
                </c:pt>
                <c:pt idx="51">
                  <c:v>0.00479999999999985</c:v>
                </c:pt>
                <c:pt idx="52">
                  <c:v>0.00269999999999988</c:v>
                </c:pt>
                <c:pt idx="53">
                  <c:v>0.00119999999999992</c:v>
                </c:pt>
                <c:pt idx="54">
                  <c:v>0.00029999999999996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</c:numCache>
            </c:numRef>
          </c:yVal>
          <c:smooth val="1"/>
        </c:ser>
        <c:ser>
          <c:idx val="4"/>
          <c:order val="2"/>
          <c:tx>
            <c:strRef>
              <c:f>'Gamma_k,theta'!$N$4</c:f>
              <c:strCache>
                <c:ptCount val="1"/>
                <c:pt idx="0">
                  <c:v>B(a=2;b=2)-PDF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'Gamma_k,theta'!$C$5:$C$66</c:f>
              <c:numCache>
                <c:formatCode>0.000</c:formatCode>
                <c:ptCount val="62"/>
                <c:pt idx="0">
                  <c:v>0.0</c:v>
                </c:pt>
                <c:pt idx="1">
                  <c:v>0.001</c:v>
                </c:pt>
                <c:pt idx="2">
                  <c:v>0.002</c:v>
                </c:pt>
                <c:pt idx="3">
                  <c:v>0.003</c:v>
                </c:pt>
                <c:pt idx="4">
                  <c:v>0.004</c:v>
                </c:pt>
                <c:pt idx="5">
                  <c:v>0.005</c:v>
                </c:pt>
                <c:pt idx="6">
                  <c:v>0.006</c:v>
                </c:pt>
                <c:pt idx="7">
                  <c:v>0.007</c:v>
                </c:pt>
                <c:pt idx="8">
                  <c:v>0.008</c:v>
                </c:pt>
                <c:pt idx="9">
                  <c:v>0.009</c:v>
                </c:pt>
                <c:pt idx="10">
                  <c:v>0.01</c:v>
                </c:pt>
                <c:pt idx="11">
                  <c:v>0.035</c:v>
                </c:pt>
                <c:pt idx="12">
                  <c:v>0.06</c:v>
                </c:pt>
                <c:pt idx="13">
                  <c:v>0.085</c:v>
                </c:pt>
                <c:pt idx="14">
                  <c:v>0.11</c:v>
                </c:pt>
                <c:pt idx="15">
                  <c:v>0.135</c:v>
                </c:pt>
                <c:pt idx="16">
                  <c:v>0.16</c:v>
                </c:pt>
                <c:pt idx="17">
                  <c:v>0.185</c:v>
                </c:pt>
                <c:pt idx="18">
                  <c:v>0.21</c:v>
                </c:pt>
                <c:pt idx="19">
                  <c:v>0.235</c:v>
                </c:pt>
                <c:pt idx="20">
                  <c:v>0.26</c:v>
                </c:pt>
                <c:pt idx="21">
                  <c:v>0.285</c:v>
                </c:pt>
                <c:pt idx="22">
                  <c:v>0.31</c:v>
                </c:pt>
                <c:pt idx="23">
                  <c:v>0.335</c:v>
                </c:pt>
                <c:pt idx="24">
                  <c:v>0.36</c:v>
                </c:pt>
                <c:pt idx="25">
                  <c:v>0.385</c:v>
                </c:pt>
                <c:pt idx="26">
                  <c:v>0.41</c:v>
                </c:pt>
                <c:pt idx="27">
                  <c:v>0.435</c:v>
                </c:pt>
                <c:pt idx="28">
                  <c:v>0.46</c:v>
                </c:pt>
                <c:pt idx="29">
                  <c:v>0.485</c:v>
                </c:pt>
                <c:pt idx="30">
                  <c:v>0.51</c:v>
                </c:pt>
                <c:pt idx="31">
                  <c:v>0.535</c:v>
                </c:pt>
                <c:pt idx="32">
                  <c:v>0.56</c:v>
                </c:pt>
                <c:pt idx="33">
                  <c:v>0.585</c:v>
                </c:pt>
                <c:pt idx="34">
                  <c:v>0.61</c:v>
                </c:pt>
                <c:pt idx="35">
                  <c:v>0.635</c:v>
                </c:pt>
                <c:pt idx="36">
                  <c:v>0.66</c:v>
                </c:pt>
                <c:pt idx="37">
                  <c:v>0.685</c:v>
                </c:pt>
                <c:pt idx="38">
                  <c:v>0.71</c:v>
                </c:pt>
                <c:pt idx="39">
                  <c:v>0.735</c:v>
                </c:pt>
                <c:pt idx="40">
                  <c:v>0.76</c:v>
                </c:pt>
                <c:pt idx="41">
                  <c:v>0.785</c:v>
                </c:pt>
                <c:pt idx="42">
                  <c:v>0.81</c:v>
                </c:pt>
                <c:pt idx="43">
                  <c:v>0.835</c:v>
                </c:pt>
                <c:pt idx="44">
                  <c:v>0.86</c:v>
                </c:pt>
                <c:pt idx="45">
                  <c:v>0.885000000000001</c:v>
                </c:pt>
                <c:pt idx="46">
                  <c:v>0.910000000000001</c:v>
                </c:pt>
                <c:pt idx="47">
                  <c:v>0.920000000000001</c:v>
                </c:pt>
                <c:pt idx="48">
                  <c:v>0.930000000000001</c:v>
                </c:pt>
                <c:pt idx="49">
                  <c:v>0.940000000000001</c:v>
                </c:pt>
                <c:pt idx="50">
                  <c:v>0.950000000000001</c:v>
                </c:pt>
                <c:pt idx="51">
                  <c:v>0.960000000000001</c:v>
                </c:pt>
                <c:pt idx="52">
                  <c:v>0.970000000000001</c:v>
                </c:pt>
                <c:pt idx="53">
                  <c:v>0.980000000000001</c:v>
                </c:pt>
                <c:pt idx="54">
                  <c:v>0.990000000000001</c:v>
                </c:pt>
                <c:pt idx="55">
                  <c:v>1.000000000000001</c:v>
                </c:pt>
                <c:pt idx="56">
                  <c:v>1.010000000000001</c:v>
                </c:pt>
                <c:pt idx="57">
                  <c:v>1.020000000000001</c:v>
                </c:pt>
                <c:pt idx="58">
                  <c:v>1.030000000000001</c:v>
                </c:pt>
                <c:pt idx="59">
                  <c:v>1.040000000000001</c:v>
                </c:pt>
                <c:pt idx="60">
                  <c:v>1.050000000000001</c:v>
                </c:pt>
                <c:pt idx="61">
                  <c:v>1.060000000000001</c:v>
                </c:pt>
              </c:numCache>
            </c:numRef>
          </c:xVal>
          <c:yVal>
            <c:numRef>
              <c:f>'Gamma_k,theta'!$N$5:$N$66</c:f>
              <c:numCache>
                <c:formatCode>0.000000</c:formatCode>
                <c:ptCount val="62"/>
                <c:pt idx="0">
                  <c:v>0.0</c:v>
                </c:pt>
                <c:pt idx="1">
                  <c:v>0.005994</c:v>
                </c:pt>
                <c:pt idx="2">
                  <c:v>0.011976</c:v>
                </c:pt>
                <c:pt idx="3">
                  <c:v>0.017946</c:v>
                </c:pt>
                <c:pt idx="4">
                  <c:v>0.023904</c:v>
                </c:pt>
                <c:pt idx="5">
                  <c:v>0.02985</c:v>
                </c:pt>
                <c:pt idx="6">
                  <c:v>0.035784</c:v>
                </c:pt>
                <c:pt idx="7">
                  <c:v>0.041706</c:v>
                </c:pt>
                <c:pt idx="8">
                  <c:v>0.047616</c:v>
                </c:pt>
                <c:pt idx="9">
                  <c:v>0.053514</c:v>
                </c:pt>
                <c:pt idx="10">
                  <c:v>0.0594</c:v>
                </c:pt>
                <c:pt idx="11">
                  <c:v>0.20265</c:v>
                </c:pt>
                <c:pt idx="12">
                  <c:v>0.3384</c:v>
                </c:pt>
                <c:pt idx="13">
                  <c:v>0.46665</c:v>
                </c:pt>
                <c:pt idx="14">
                  <c:v>0.5874</c:v>
                </c:pt>
                <c:pt idx="15">
                  <c:v>0.70065</c:v>
                </c:pt>
                <c:pt idx="16">
                  <c:v>0.8064</c:v>
                </c:pt>
                <c:pt idx="17">
                  <c:v>0.90465</c:v>
                </c:pt>
                <c:pt idx="18">
                  <c:v>0.9954</c:v>
                </c:pt>
                <c:pt idx="19">
                  <c:v>1.07865</c:v>
                </c:pt>
                <c:pt idx="20">
                  <c:v>1.1544</c:v>
                </c:pt>
                <c:pt idx="21">
                  <c:v>1.22265</c:v>
                </c:pt>
                <c:pt idx="22">
                  <c:v>1.2834</c:v>
                </c:pt>
                <c:pt idx="23">
                  <c:v>1.33665</c:v>
                </c:pt>
                <c:pt idx="24">
                  <c:v>1.3824</c:v>
                </c:pt>
                <c:pt idx="25">
                  <c:v>1.42065</c:v>
                </c:pt>
                <c:pt idx="26">
                  <c:v>1.4514</c:v>
                </c:pt>
                <c:pt idx="27">
                  <c:v>1.47465</c:v>
                </c:pt>
                <c:pt idx="28">
                  <c:v>1.4904</c:v>
                </c:pt>
                <c:pt idx="29">
                  <c:v>1.49865</c:v>
                </c:pt>
                <c:pt idx="30">
                  <c:v>1.4994</c:v>
                </c:pt>
                <c:pt idx="31">
                  <c:v>1.49265</c:v>
                </c:pt>
                <c:pt idx="32">
                  <c:v>1.4784</c:v>
                </c:pt>
                <c:pt idx="33">
                  <c:v>1.45665</c:v>
                </c:pt>
                <c:pt idx="34">
                  <c:v>1.4274</c:v>
                </c:pt>
                <c:pt idx="35">
                  <c:v>1.390649999999999</c:v>
                </c:pt>
                <c:pt idx="36">
                  <c:v>1.346399999999999</c:v>
                </c:pt>
                <c:pt idx="37">
                  <c:v>1.294649999999999</c:v>
                </c:pt>
                <c:pt idx="38">
                  <c:v>1.235399999999999</c:v>
                </c:pt>
                <c:pt idx="39">
                  <c:v>1.168649999999999</c:v>
                </c:pt>
                <c:pt idx="40">
                  <c:v>1.094399999999999</c:v>
                </c:pt>
                <c:pt idx="41">
                  <c:v>1.012649999999998</c:v>
                </c:pt>
                <c:pt idx="42">
                  <c:v>0.923399999999998</c:v>
                </c:pt>
                <c:pt idx="43">
                  <c:v>0.826649999999998</c:v>
                </c:pt>
                <c:pt idx="44">
                  <c:v>0.722399999999998</c:v>
                </c:pt>
                <c:pt idx="45">
                  <c:v>0.610649999999997</c:v>
                </c:pt>
                <c:pt idx="46">
                  <c:v>0.491399999999997</c:v>
                </c:pt>
                <c:pt idx="47">
                  <c:v>0.441599999999997</c:v>
                </c:pt>
                <c:pt idx="48">
                  <c:v>0.390599999999997</c:v>
                </c:pt>
                <c:pt idx="49">
                  <c:v>0.338399999999997</c:v>
                </c:pt>
                <c:pt idx="50">
                  <c:v>0.284999999999997</c:v>
                </c:pt>
                <c:pt idx="51">
                  <c:v>0.230399999999997</c:v>
                </c:pt>
                <c:pt idx="52">
                  <c:v>0.174599999999996</c:v>
                </c:pt>
                <c:pt idx="53">
                  <c:v>0.117599999999996</c:v>
                </c:pt>
                <c:pt idx="54">
                  <c:v>0.0593999999999961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</c:numCache>
            </c:numRef>
          </c:yVal>
          <c:smooth val="1"/>
        </c:ser>
        <c:ser>
          <c:idx val="5"/>
          <c:order val="3"/>
          <c:tx>
            <c:strRef>
              <c:f>'Gamma_k,theta'!$Q$4</c:f>
              <c:strCache>
                <c:ptCount val="1"/>
                <c:pt idx="0">
                  <c:v>B(a=2;b=5)-PDF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'Gamma_k,theta'!$C$5:$C$66</c:f>
              <c:numCache>
                <c:formatCode>0.000</c:formatCode>
                <c:ptCount val="62"/>
                <c:pt idx="0">
                  <c:v>0.0</c:v>
                </c:pt>
                <c:pt idx="1">
                  <c:v>0.001</c:v>
                </c:pt>
                <c:pt idx="2">
                  <c:v>0.002</c:v>
                </c:pt>
                <c:pt idx="3">
                  <c:v>0.003</c:v>
                </c:pt>
                <c:pt idx="4">
                  <c:v>0.004</c:v>
                </c:pt>
                <c:pt idx="5">
                  <c:v>0.005</c:v>
                </c:pt>
                <c:pt idx="6">
                  <c:v>0.006</c:v>
                </c:pt>
                <c:pt idx="7">
                  <c:v>0.007</c:v>
                </c:pt>
                <c:pt idx="8">
                  <c:v>0.008</c:v>
                </c:pt>
                <c:pt idx="9">
                  <c:v>0.009</c:v>
                </c:pt>
                <c:pt idx="10">
                  <c:v>0.01</c:v>
                </c:pt>
                <c:pt idx="11">
                  <c:v>0.035</c:v>
                </c:pt>
                <c:pt idx="12">
                  <c:v>0.06</c:v>
                </c:pt>
                <c:pt idx="13">
                  <c:v>0.085</c:v>
                </c:pt>
                <c:pt idx="14">
                  <c:v>0.11</c:v>
                </c:pt>
                <c:pt idx="15">
                  <c:v>0.135</c:v>
                </c:pt>
                <c:pt idx="16">
                  <c:v>0.16</c:v>
                </c:pt>
                <c:pt idx="17">
                  <c:v>0.185</c:v>
                </c:pt>
                <c:pt idx="18">
                  <c:v>0.21</c:v>
                </c:pt>
                <c:pt idx="19">
                  <c:v>0.235</c:v>
                </c:pt>
                <c:pt idx="20">
                  <c:v>0.26</c:v>
                </c:pt>
                <c:pt idx="21">
                  <c:v>0.285</c:v>
                </c:pt>
                <c:pt idx="22">
                  <c:v>0.31</c:v>
                </c:pt>
                <c:pt idx="23">
                  <c:v>0.335</c:v>
                </c:pt>
                <c:pt idx="24">
                  <c:v>0.36</c:v>
                </c:pt>
                <c:pt idx="25">
                  <c:v>0.385</c:v>
                </c:pt>
                <c:pt idx="26">
                  <c:v>0.41</c:v>
                </c:pt>
                <c:pt idx="27">
                  <c:v>0.435</c:v>
                </c:pt>
                <c:pt idx="28">
                  <c:v>0.46</c:v>
                </c:pt>
                <c:pt idx="29">
                  <c:v>0.485</c:v>
                </c:pt>
                <c:pt idx="30">
                  <c:v>0.51</c:v>
                </c:pt>
                <c:pt idx="31">
                  <c:v>0.535</c:v>
                </c:pt>
                <c:pt idx="32">
                  <c:v>0.56</c:v>
                </c:pt>
                <c:pt idx="33">
                  <c:v>0.585</c:v>
                </c:pt>
                <c:pt idx="34">
                  <c:v>0.61</c:v>
                </c:pt>
                <c:pt idx="35">
                  <c:v>0.635</c:v>
                </c:pt>
                <c:pt idx="36">
                  <c:v>0.66</c:v>
                </c:pt>
                <c:pt idx="37">
                  <c:v>0.685</c:v>
                </c:pt>
                <c:pt idx="38">
                  <c:v>0.71</c:v>
                </c:pt>
                <c:pt idx="39">
                  <c:v>0.735</c:v>
                </c:pt>
                <c:pt idx="40">
                  <c:v>0.76</c:v>
                </c:pt>
                <c:pt idx="41">
                  <c:v>0.785</c:v>
                </c:pt>
                <c:pt idx="42">
                  <c:v>0.81</c:v>
                </c:pt>
                <c:pt idx="43">
                  <c:v>0.835</c:v>
                </c:pt>
                <c:pt idx="44">
                  <c:v>0.86</c:v>
                </c:pt>
                <c:pt idx="45">
                  <c:v>0.885000000000001</c:v>
                </c:pt>
                <c:pt idx="46">
                  <c:v>0.910000000000001</c:v>
                </c:pt>
                <c:pt idx="47">
                  <c:v>0.920000000000001</c:v>
                </c:pt>
                <c:pt idx="48">
                  <c:v>0.930000000000001</c:v>
                </c:pt>
                <c:pt idx="49">
                  <c:v>0.940000000000001</c:v>
                </c:pt>
                <c:pt idx="50">
                  <c:v>0.950000000000001</c:v>
                </c:pt>
                <c:pt idx="51">
                  <c:v>0.960000000000001</c:v>
                </c:pt>
                <c:pt idx="52">
                  <c:v>0.970000000000001</c:v>
                </c:pt>
                <c:pt idx="53">
                  <c:v>0.980000000000001</c:v>
                </c:pt>
                <c:pt idx="54">
                  <c:v>0.990000000000001</c:v>
                </c:pt>
                <c:pt idx="55">
                  <c:v>1.000000000000001</c:v>
                </c:pt>
                <c:pt idx="56">
                  <c:v>1.010000000000001</c:v>
                </c:pt>
                <c:pt idx="57">
                  <c:v>1.020000000000001</c:v>
                </c:pt>
                <c:pt idx="58">
                  <c:v>1.030000000000001</c:v>
                </c:pt>
                <c:pt idx="59">
                  <c:v>1.040000000000001</c:v>
                </c:pt>
                <c:pt idx="60">
                  <c:v>1.050000000000001</c:v>
                </c:pt>
                <c:pt idx="61">
                  <c:v>1.060000000000001</c:v>
                </c:pt>
              </c:numCache>
            </c:numRef>
          </c:xVal>
          <c:yVal>
            <c:numRef>
              <c:f>'Gamma_k,theta'!$Q$5:$Q$66</c:f>
              <c:numCache>
                <c:formatCode>0.000000</c:formatCode>
                <c:ptCount val="62"/>
                <c:pt idx="0">
                  <c:v>0.0</c:v>
                </c:pt>
                <c:pt idx="1">
                  <c:v>0.02988017988003</c:v>
                </c:pt>
                <c:pt idx="2">
                  <c:v>0.05952143808096</c:v>
                </c:pt>
                <c:pt idx="3">
                  <c:v>0.08892485028729</c:v>
                </c:pt>
                <c:pt idx="4">
                  <c:v>0.11809148931072</c:v>
                </c:pt>
                <c:pt idx="5">
                  <c:v>0.14702242509375</c:v>
                </c:pt>
                <c:pt idx="6">
                  <c:v>0.17571872471328</c:v>
                </c:pt>
                <c:pt idx="7">
                  <c:v>0.20418145238421</c:v>
                </c:pt>
                <c:pt idx="8">
                  <c:v>0.23241166946304</c:v>
                </c:pt>
                <c:pt idx="9">
                  <c:v>0.26041043445147</c:v>
                </c:pt>
                <c:pt idx="10">
                  <c:v>0.288178803</c:v>
                </c:pt>
                <c:pt idx="11">
                  <c:v>0.91053900065625</c:v>
                </c:pt>
                <c:pt idx="12">
                  <c:v>1.405348128</c:v>
                </c:pt>
                <c:pt idx="13">
                  <c:v>1.78741153659375</c:v>
                </c:pt>
                <c:pt idx="14">
                  <c:v>2.070493953</c:v>
                </c:pt>
                <c:pt idx="15">
                  <c:v>2.26735463503125</c:v>
                </c:pt>
                <c:pt idx="16">
                  <c:v>2.389782528</c:v>
                </c:pt>
                <c:pt idx="17">
                  <c:v>2.44863142096875</c:v>
                </c:pt>
                <c:pt idx="18">
                  <c:v>2.453855103</c:v>
                </c:pt>
                <c:pt idx="19">
                  <c:v>2.41454251940625</c:v>
                </c:pt>
                <c:pt idx="20">
                  <c:v>2.338952928</c:v>
                </c:pt>
                <c:pt idx="21">
                  <c:v>2.23455105534375</c:v>
                </c:pt>
                <c:pt idx="22">
                  <c:v>2.108042253</c:v>
                </c:pt>
                <c:pt idx="23">
                  <c:v>1.965407653781249</c:v>
                </c:pt>
                <c:pt idx="24">
                  <c:v>1.811939328</c:v>
                </c:pt>
                <c:pt idx="25">
                  <c:v>1.652275439718749</c:v>
                </c:pt>
                <c:pt idx="26">
                  <c:v>1.490435402999999</c:v>
                </c:pt>
                <c:pt idx="27">
                  <c:v>1.32985503815625</c:v>
                </c:pt>
                <c:pt idx="28">
                  <c:v>1.173421727999999</c:v>
                </c:pt>
                <c:pt idx="29">
                  <c:v>1.023509574093749</c:v>
                </c:pt>
                <c:pt idx="30">
                  <c:v>0.882014552999999</c:v>
                </c:pt>
                <c:pt idx="31">
                  <c:v>0.750389672531249</c:v>
                </c:pt>
                <c:pt idx="32">
                  <c:v>0.629680127999998</c:v>
                </c:pt>
                <c:pt idx="33">
                  <c:v>0.520558458468749</c:v>
                </c:pt>
                <c:pt idx="34">
                  <c:v>0.423359702999999</c:v>
                </c:pt>
                <c:pt idx="35">
                  <c:v>0.338116556906249</c:v>
                </c:pt>
                <c:pt idx="36">
                  <c:v>0.264594527999999</c:v>
                </c:pt>
                <c:pt idx="37">
                  <c:v>0.202327092843749</c:v>
                </c:pt>
                <c:pt idx="38">
                  <c:v>0.150650852999999</c:v>
                </c:pt>
                <c:pt idx="39">
                  <c:v>0.108740691281249</c:v>
                </c:pt>
                <c:pt idx="40">
                  <c:v>0.0756449279999995</c:v>
                </c:pt>
                <c:pt idx="41">
                  <c:v>0.0503204772187496</c:v>
                </c:pt>
                <c:pt idx="42">
                  <c:v>0.0316680029999997</c:v>
                </c:pt>
                <c:pt idx="43">
                  <c:v>0.0185670756562498</c:v>
                </c:pt>
                <c:pt idx="44">
                  <c:v>0.00991132799999985</c:v>
                </c:pt>
                <c:pt idx="45">
                  <c:v>0.00464361159374991</c:v>
                </c:pt>
                <c:pt idx="46">
                  <c:v>0.00179115299999995</c:v>
                </c:pt>
                <c:pt idx="47">
                  <c:v>0.00113049599999997</c:v>
                </c:pt>
                <c:pt idx="48">
                  <c:v>0.000669878999999977</c:v>
                </c:pt>
                <c:pt idx="49">
                  <c:v>0.000365471999999985</c:v>
                </c:pt>
                <c:pt idx="50">
                  <c:v>0.000178124999999991</c:v>
                </c:pt>
                <c:pt idx="51">
                  <c:v>7.37279999999954E-5</c:v>
                </c:pt>
                <c:pt idx="52">
                  <c:v>2.3570999999998E-5</c:v>
                </c:pt>
                <c:pt idx="53">
                  <c:v>4.70399999999939E-6</c:v>
                </c:pt>
                <c:pt idx="54">
                  <c:v>2.96999999999922E-7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'Gamma_k,theta'!$E$4</c:f>
              <c:strCache>
                <c:ptCount val="1"/>
                <c:pt idx="0">
                  <c:v>B(a=0.5;b=0.5)-PDF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'Gamma_k,theta'!$C$5:$C$66</c:f>
              <c:numCache>
                <c:formatCode>0.000</c:formatCode>
                <c:ptCount val="62"/>
                <c:pt idx="0">
                  <c:v>0.0</c:v>
                </c:pt>
                <c:pt idx="1">
                  <c:v>0.001</c:v>
                </c:pt>
                <c:pt idx="2">
                  <c:v>0.002</c:v>
                </c:pt>
                <c:pt idx="3">
                  <c:v>0.003</c:v>
                </c:pt>
                <c:pt idx="4">
                  <c:v>0.004</c:v>
                </c:pt>
                <c:pt idx="5">
                  <c:v>0.005</c:v>
                </c:pt>
                <c:pt idx="6">
                  <c:v>0.006</c:v>
                </c:pt>
                <c:pt idx="7">
                  <c:v>0.007</c:v>
                </c:pt>
                <c:pt idx="8">
                  <c:v>0.008</c:v>
                </c:pt>
                <c:pt idx="9">
                  <c:v>0.009</c:v>
                </c:pt>
                <c:pt idx="10">
                  <c:v>0.01</c:v>
                </c:pt>
                <c:pt idx="11">
                  <c:v>0.035</c:v>
                </c:pt>
                <c:pt idx="12">
                  <c:v>0.06</c:v>
                </c:pt>
                <c:pt idx="13">
                  <c:v>0.085</c:v>
                </c:pt>
                <c:pt idx="14">
                  <c:v>0.11</c:v>
                </c:pt>
                <c:pt idx="15">
                  <c:v>0.135</c:v>
                </c:pt>
                <c:pt idx="16">
                  <c:v>0.16</c:v>
                </c:pt>
                <c:pt idx="17">
                  <c:v>0.185</c:v>
                </c:pt>
                <c:pt idx="18">
                  <c:v>0.21</c:v>
                </c:pt>
                <c:pt idx="19">
                  <c:v>0.235</c:v>
                </c:pt>
                <c:pt idx="20">
                  <c:v>0.26</c:v>
                </c:pt>
                <c:pt idx="21">
                  <c:v>0.285</c:v>
                </c:pt>
                <c:pt idx="22">
                  <c:v>0.31</c:v>
                </c:pt>
                <c:pt idx="23">
                  <c:v>0.335</c:v>
                </c:pt>
                <c:pt idx="24">
                  <c:v>0.36</c:v>
                </c:pt>
                <c:pt idx="25">
                  <c:v>0.385</c:v>
                </c:pt>
                <c:pt idx="26">
                  <c:v>0.41</c:v>
                </c:pt>
                <c:pt idx="27">
                  <c:v>0.435</c:v>
                </c:pt>
                <c:pt idx="28">
                  <c:v>0.46</c:v>
                </c:pt>
                <c:pt idx="29">
                  <c:v>0.485</c:v>
                </c:pt>
                <c:pt idx="30">
                  <c:v>0.51</c:v>
                </c:pt>
                <c:pt idx="31">
                  <c:v>0.535</c:v>
                </c:pt>
                <c:pt idx="32">
                  <c:v>0.56</c:v>
                </c:pt>
                <c:pt idx="33">
                  <c:v>0.585</c:v>
                </c:pt>
                <c:pt idx="34">
                  <c:v>0.61</c:v>
                </c:pt>
                <c:pt idx="35">
                  <c:v>0.635</c:v>
                </c:pt>
                <c:pt idx="36">
                  <c:v>0.66</c:v>
                </c:pt>
                <c:pt idx="37">
                  <c:v>0.685</c:v>
                </c:pt>
                <c:pt idx="38">
                  <c:v>0.71</c:v>
                </c:pt>
                <c:pt idx="39">
                  <c:v>0.735</c:v>
                </c:pt>
                <c:pt idx="40">
                  <c:v>0.76</c:v>
                </c:pt>
                <c:pt idx="41">
                  <c:v>0.785</c:v>
                </c:pt>
                <c:pt idx="42">
                  <c:v>0.81</c:v>
                </c:pt>
                <c:pt idx="43">
                  <c:v>0.835</c:v>
                </c:pt>
                <c:pt idx="44">
                  <c:v>0.86</c:v>
                </c:pt>
                <c:pt idx="45">
                  <c:v>0.885000000000001</c:v>
                </c:pt>
                <c:pt idx="46">
                  <c:v>0.910000000000001</c:v>
                </c:pt>
                <c:pt idx="47">
                  <c:v>0.920000000000001</c:v>
                </c:pt>
                <c:pt idx="48">
                  <c:v>0.930000000000001</c:v>
                </c:pt>
                <c:pt idx="49">
                  <c:v>0.940000000000001</c:v>
                </c:pt>
                <c:pt idx="50">
                  <c:v>0.950000000000001</c:v>
                </c:pt>
                <c:pt idx="51">
                  <c:v>0.960000000000001</c:v>
                </c:pt>
                <c:pt idx="52">
                  <c:v>0.970000000000001</c:v>
                </c:pt>
                <c:pt idx="53">
                  <c:v>0.980000000000001</c:v>
                </c:pt>
                <c:pt idx="54">
                  <c:v>0.990000000000001</c:v>
                </c:pt>
                <c:pt idx="55">
                  <c:v>1.000000000000001</c:v>
                </c:pt>
                <c:pt idx="56">
                  <c:v>1.010000000000001</c:v>
                </c:pt>
                <c:pt idx="57">
                  <c:v>1.020000000000001</c:v>
                </c:pt>
                <c:pt idx="58">
                  <c:v>1.030000000000001</c:v>
                </c:pt>
                <c:pt idx="59">
                  <c:v>1.040000000000001</c:v>
                </c:pt>
                <c:pt idx="60">
                  <c:v>1.050000000000001</c:v>
                </c:pt>
                <c:pt idx="61">
                  <c:v>1.060000000000001</c:v>
                </c:pt>
              </c:numCache>
            </c:numRef>
          </c:xVal>
          <c:yVal>
            <c:numRef>
              <c:f>'Gamma_k,theta'!$E$5:$E$66</c:f>
              <c:numCache>
                <c:formatCode>0.000000</c:formatCode>
                <c:ptCount val="62"/>
                <c:pt idx="0">
                  <c:v>0.0</c:v>
                </c:pt>
                <c:pt idx="1">
                  <c:v>10.07087911994709</c:v>
                </c:pt>
                <c:pt idx="2">
                  <c:v>7.124753753869352</c:v>
                </c:pt>
                <c:pt idx="3">
                  <c:v>5.820253769605505</c:v>
                </c:pt>
                <c:pt idx="4">
                  <c:v>5.043017351408864</c:v>
                </c:pt>
                <c:pt idx="5">
                  <c:v>4.512877913680635</c:v>
                </c:pt>
                <c:pt idx="6">
                  <c:v>4.121746804537358</c:v>
                </c:pt>
                <c:pt idx="7">
                  <c:v>3.817917002465118</c:v>
                </c:pt>
                <c:pt idx="8">
                  <c:v>3.573133952884255</c:v>
                </c:pt>
                <c:pt idx="9">
                  <c:v>3.370482257695184</c:v>
                </c:pt>
                <c:pt idx="10">
                  <c:v>3.199134725855654</c:v>
                </c:pt>
                <c:pt idx="11">
                  <c:v>1.73201818882911</c:v>
                </c:pt>
                <c:pt idx="12">
                  <c:v>1.340326410720722</c:v>
                </c:pt>
                <c:pt idx="13">
                  <c:v>1.14137962976361</c:v>
                </c:pt>
                <c:pt idx="14">
                  <c:v>1.017322808178516</c:v>
                </c:pt>
                <c:pt idx="15">
                  <c:v>0.931483549285258</c:v>
                </c:pt>
                <c:pt idx="16">
                  <c:v>0.868261397553571</c:v>
                </c:pt>
                <c:pt idx="17">
                  <c:v>0.819757613242574</c:v>
                </c:pt>
                <c:pt idx="18">
                  <c:v>0.781496314582914</c:v>
                </c:pt>
                <c:pt idx="19">
                  <c:v>0.750732951611589</c:v>
                </c:pt>
                <c:pt idx="20">
                  <c:v>0.725684076302098</c:v>
                </c:pt>
                <c:pt idx="21">
                  <c:v>0.705138904196157</c:v>
                </c:pt>
                <c:pt idx="22">
                  <c:v>0.688247646572316</c:v>
                </c:pt>
                <c:pt idx="23">
                  <c:v>0.674398974364336</c:v>
                </c:pt>
                <c:pt idx="24">
                  <c:v>0.66314559621623</c:v>
                </c:pt>
                <c:pt idx="25">
                  <c:v>0.654157318743646</c:v>
                </c:pt>
                <c:pt idx="26">
                  <c:v>0.647190588532326</c:v>
                </c:pt>
                <c:pt idx="27">
                  <c:v>0.642068368491442</c:v>
                </c:pt>
                <c:pt idx="28">
                  <c:v>0.638666786564496</c:v>
                </c:pt>
                <c:pt idx="29">
                  <c:v>0.636906444783547</c:v>
                </c:pt>
                <c:pt idx="30">
                  <c:v>0.636747134531978</c:v>
                </c:pt>
                <c:pt idx="31">
                  <c:v>0.638185246281478</c:v>
                </c:pt>
                <c:pt idx="32">
                  <c:v>0.641253539908009</c:v>
                </c:pt>
                <c:pt idx="33">
                  <c:v>0.646023246470497</c:v>
                </c:pt>
                <c:pt idx="34">
                  <c:v>0.65260877087903</c:v>
                </c:pt>
                <c:pt idx="35">
                  <c:v>0.661175621959402</c:v>
                </c:pt>
                <c:pt idx="36">
                  <c:v>0.671952696410712</c:v>
                </c:pt>
                <c:pt idx="37">
                  <c:v>0.685250821195903</c:v>
                </c:pt>
                <c:pt idx="38">
                  <c:v>0.701490758545063</c:v>
                </c:pt>
                <c:pt idx="39">
                  <c:v>0.721246171393764</c:v>
                </c:pt>
                <c:pt idx="40">
                  <c:v>0.745311307714806</c:v>
                </c:pt>
                <c:pt idx="41">
                  <c:v>0.774811519523032</c:v>
                </c:pt>
                <c:pt idx="42">
                  <c:v>0.811392179301215</c:v>
                </c:pt>
                <c:pt idx="43">
                  <c:v>0.857560793501858</c:v>
                </c:pt>
                <c:pt idx="44">
                  <c:v>0.917353841284314</c:v>
                </c:pt>
                <c:pt idx="45">
                  <c:v>0.99776800106945</c:v>
                </c:pt>
                <c:pt idx="46">
                  <c:v>1.112264756883828</c:v>
                </c:pt>
                <c:pt idx="47">
                  <c:v>1.173305807059523</c:v>
                </c:pt>
                <c:pt idx="48">
                  <c:v>1.247554804366395</c:v>
                </c:pt>
                <c:pt idx="49">
                  <c:v>1.340326410720728</c:v>
                </c:pt>
                <c:pt idx="50">
                  <c:v>1.460505922742195</c:v>
                </c:pt>
                <c:pt idx="51">
                  <c:v>1.624368335903504</c:v>
                </c:pt>
                <c:pt idx="52">
                  <c:v>1.865965598979588</c:v>
                </c:pt>
                <c:pt idx="53">
                  <c:v>2.273642044169969</c:v>
                </c:pt>
                <c:pt idx="54">
                  <c:v>3.199134725855759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3639832"/>
        <c:axId val="2113642968"/>
      </c:scatterChart>
      <c:valAx>
        <c:axId val="2113639832"/>
        <c:scaling>
          <c:orientation val="minMax"/>
        </c:scaling>
        <c:delete val="0"/>
        <c:axPos val="b"/>
        <c:majorGridlines/>
        <c:numFmt formatCode="0.000" sourceLinked="1"/>
        <c:majorTickMark val="out"/>
        <c:minorTickMark val="none"/>
        <c:tickLblPos val="nextTo"/>
        <c:crossAx val="2113642968"/>
        <c:crosses val="autoZero"/>
        <c:crossBetween val="midCat"/>
      </c:valAx>
      <c:valAx>
        <c:axId val="2113642968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211363983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607168107483068"/>
          <c:y val="0.0319767441860465"/>
          <c:w val="0.723853484435941"/>
          <c:h val="0.9218721388024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'Gamma_k,theta'!$I$4</c:f>
              <c:strCache>
                <c:ptCount val="1"/>
                <c:pt idx="0">
                  <c:v>B(a=5;b=1)-CDF</c:v>
                </c:pt>
              </c:strCache>
            </c:strRef>
          </c:tx>
          <c:spPr>
            <a:ln w="22225"/>
          </c:spPr>
          <c:marker>
            <c:symbol val="none"/>
          </c:marker>
          <c:xVal>
            <c:numRef>
              <c:f>'Gamma_k,theta'!$C$5:$C$66</c:f>
              <c:numCache>
                <c:formatCode>0.000</c:formatCode>
                <c:ptCount val="62"/>
                <c:pt idx="0">
                  <c:v>0.0</c:v>
                </c:pt>
                <c:pt idx="1">
                  <c:v>0.001</c:v>
                </c:pt>
                <c:pt idx="2">
                  <c:v>0.002</c:v>
                </c:pt>
                <c:pt idx="3">
                  <c:v>0.003</c:v>
                </c:pt>
                <c:pt idx="4">
                  <c:v>0.004</c:v>
                </c:pt>
                <c:pt idx="5">
                  <c:v>0.005</c:v>
                </c:pt>
                <c:pt idx="6">
                  <c:v>0.006</c:v>
                </c:pt>
                <c:pt idx="7">
                  <c:v>0.007</c:v>
                </c:pt>
                <c:pt idx="8">
                  <c:v>0.008</c:v>
                </c:pt>
                <c:pt idx="9">
                  <c:v>0.009</c:v>
                </c:pt>
                <c:pt idx="10">
                  <c:v>0.01</c:v>
                </c:pt>
                <c:pt idx="11">
                  <c:v>0.035</c:v>
                </c:pt>
                <c:pt idx="12">
                  <c:v>0.06</c:v>
                </c:pt>
                <c:pt idx="13">
                  <c:v>0.085</c:v>
                </c:pt>
                <c:pt idx="14">
                  <c:v>0.11</c:v>
                </c:pt>
                <c:pt idx="15">
                  <c:v>0.135</c:v>
                </c:pt>
                <c:pt idx="16">
                  <c:v>0.16</c:v>
                </c:pt>
                <c:pt idx="17">
                  <c:v>0.185</c:v>
                </c:pt>
                <c:pt idx="18">
                  <c:v>0.21</c:v>
                </c:pt>
                <c:pt idx="19">
                  <c:v>0.235</c:v>
                </c:pt>
                <c:pt idx="20">
                  <c:v>0.26</c:v>
                </c:pt>
                <c:pt idx="21">
                  <c:v>0.285</c:v>
                </c:pt>
                <c:pt idx="22">
                  <c:v>0.31</c:v>
                </c:pt>
                <c:pt idx="23">
                  <c:v>0.335</c:v>
                </c:pt>
                <c:pt idx="24">
                  <c:v>0.36</c:v>
                </c:pt>
                <c:pt idx="25">
                  <c:v>0.385</c:v>
                </c:pt>
                <c:pt idx="26">
                  <c:v>0.41</c:v>
                </c:pt>
                <c:pt idx="27">
                  <c:v>0.435</c:v>
                </c:pt>
                <c:pt idx="28">
                  <c:v>0.46</c:v>
                </c:pt>
                <c:pt idx="29">
                  <c:v>0.485</c:v>
                </c:pt>
                <c:pt idx="30">
                  <c:v>0.51</c:v>
                </c:pt>
                <c:pt idx="31">
                  <c:v>0.535</c:v>
                </c:pt>
                <c:pt idx="32">
                  <c:v>0.56</c:v>
                </c:pt>
                <c:pt idx="33">
                  <c:v>0.585</c:v>
                </c:pt>
                <c:pt idx="34">
                  <c:v>0.61</c:v>
                </c:pt>
                <c:pt idx="35">
                  <c:v>0.635</c:v>
                </c:pt>
                <c:pt idx="36">
                  <c:v>0.66</c:v>
                </c:pt>
                <c:pt idx="37">
                  <c:v>0.685</c:v>
                </c:pt>
                <c:pt idx="38">
                  <c:v>0.71</c:v>
                </c:pt>
                <c:pt idx="39">
                  <c:v>0.735</c:v>
                </c:pt>
                <c:pt idx="40">
                  <c:v>0.76</c:v>
                </c:pt>
                <c:pt idx="41">
                  <c:v>0.785</c:v>
                </c:pt>
                <c:pt idx="42">
                  <c:v>0.81</c:v>
                </c:pt>
                <c:pt idx="43">
                  <c:v>0.835</c:v>
                </c:pt>
                <c:pt idx="44">
                  <c:v>0.86</c:v>
                </c:pt>
                <c:pt idx="45">
                  <c:v>0.885000000000001</c:v>
                </c:pt>
                <c:pt idx="46">
                  <c:v>0.910000000000001</c:v>
                </c:pt>
                <c:pt idx="47">
                  <c:v>0.920000000000001</c:v>
                </c:pt>
                <c:pt idx="48">
                  <c:v>0.930000000000001</c:v>
                </c:pt>
                <c:pt idx="49">
                  <c:v>0.940000000000001</c:v>
                </c:pt>
                <c:pt idx="50">
                  <c:v>0.950000000000001</c:v>
                </c:pt>
                <c:pt idx="51">
                  <c:v>0.960000000000001</c:v>
                </c:pt>
                <c:pt idx="52">
                  <c:v>0.970000000000001</c:v>
                </c:pt>
                <c:pt idx="53">
                  <c:v>0.980000000000001</c:v>
                </c:pt>
                <c:pt idx="54">
                  <c:v>0.990000000000001</c:v>
                </c:pt>
                <c:pt idx="55">
                  <c:v>1.000000000000001</c:v>
                </c:pt>
                <c:pt idx="56">
                  <c:v>1.010000000000001</c:v>
                </c:pt>
                <c:pt idx="57">
                  <c:v>1.020000000000001</c:v>
                </c:pt>
                <c:pt idx="58">
                  <c:v>1.030000000000001</c:v>
                </c:pt>
                <c:pt idx="59">
                  <c:v>1.040000000000001</c:v>
                </c:pt>
                <c:pt idx="60">
                  <c:v>1.050000000000001</c:v>
                </c:pt>
                <c:pt idx="61">
                  <c:v>1.060000000000001</c:v>
                </c:pt>
              </c:numCache>
            </c:numRef>
          </c:xVal>
          <c:yVal>
            <c:numRef>
              <c:f>'Gamma_k,theta'!$I$5:$I$66</c:f>
              <c:numCache>
                <c:formatCode>0.000000</c:formatCode>
                <c:ptCount val="62"/>
                <c:pt idx="0">
                  <c:v>0.0</c:v>
                </c:pt>
                <c:pt idx="1">
                  <c:v>1.0E-15</c:v>
                </c:pt>
                <c:pt idx="2">
                  <c:v>3.20000000000001E-14</c:v>
                </c:pt>
                <c:pt idx="3">
                  <c:v>2.42999999999999E-13</c:v>
                </c:pt>
                <c:pt idx="4">
                  <c:v>1.024E-12</c:v>
                </c:pt>
                <c:pt idx="5">
                  <c:v>3.125E-12</c:v>
                </c:pt>
                <c:pt idx="6">
                  <c:v>7.77599999999999E-12</c:v>
                </c:pt>
                <c:pt idx="7">
                  <c:v>1.68070000000001E-11</c:v>
                </c:pt>
                <c:pt idx="8">
                  <c:v>3.27679999999999E-11</c:v>
                </c:pt>
                <c:pt idx="9">
                  <c:v>5.90489999999999E-11</c:v>
                </c:pt>
                <c:pt idx="10">
                  <c:v>1.0E-10</c:v>
                </c:pt>
                <c:pt idx="11">
                  <c:v>5.2521875E-8</c:v>
                </c:pt>
                <c:pt idx="12">
                  <c:v>7.776E-7</c:v>
                </c:pt>
                <c:pt idx="13">
                  <c:v>4.437053125E-6</c:v>
                </c:pt>
                <c:pt idx="14">
                  <c:v>1.61051E-5</c:v>
                </c:pt>
                <c:pt idx="15">
                  <c:v>4.4840334375E-5</c:v>
                </c:pt>
                <c:pt idx="16">
                  <c:v>0.0001048576</c:v>
                </c:pt>
                <c:pt idx="17">
                  <c:v>0.000216699865625</c:v>
                </c:pt>
                <c:pt idx="18">
                  <c:v>0.0004084101</c:v>
                </c:pt>
                <c:pt idx="19">
                  <c:v>0.000716703146875</c:v>
                </c:pt>
                <c:pt idx="20">
                  <c:v>0.0011881376</c:v>
                </c:pt>
                <c:pt idx="21">
                  <c:v>0.001880287678125</c:v>
                </c:pt>
                <c:pt idx="22">
                  <c:v>0.0028629151</c:v>
                </c:pt>
                <c:pt idx="23">
                  <c:v>0.004219140959375</c:v>
                </c:pt>
                <c:pt idx="24">
                  <c:v>0.00604661760000001</c:v>
                </c:pt>
                <c:pt idx="25">
                  <c:v>0.00845870049062501</c:v>
                </c:pt>
                <c:pt idx="26">
                  <c:v>0.0115856201</c:v>
                </c:pt>
                <c:pt idx="27">
                  <c:v>0.015575653771875</c:v>
                </c:pt>
                <c:pt idx="28">
                  <c:v>0.0205962976</c:v>
                </c:pt>
                <c:pt idx="29">
                  <c:v>0.0268354383031251</c:v>
                </c:pt>
                <c:pt idx="30">
                  <c:v>0.0345025251000001</c:v>
                </c:pt>
                <c:pt idx="31">
                  <c:v>0.0438297415843751</c:v>
                </c:pt>
                <c:pt idx="32">
                  <c:v>0.0550731776000001</c:v>
                </c:pt>
                <c:pt idx="33">
                  <c:v>0.0685140011156252</c:v>
                </c:pt>
                <c:pt idx="34">
                  <c:v>0.0844596301000002</c:v>
                </c:pt>
                <c:pt idx="35">
                  <c:v>0.103244904396875</c:v>
                </c:pt>
                <c:pt idx="36">
                  <c:v>0.1252332576</c:v>
                </c:pt>
                <c:pt idx="37">
                  <c:v>0.150817888928125</c:v>
                </c:pt>
                <c:pt idx="38">
                  <c:v>0.1804229351</c:v>
                </c:pt>
                <c:pt idx="39">
                  <c:v>0.214504642209376</c:v>
                </c:pt>
                <c:pt idx="40">
                  <c:v>0.253552537600001</c:v>
                </c:pt>
                <c:pt idx="41">
                  <c:v>0.298090601740626</c:v>
                </c:pt>
                <c:pt idx="42">
                  <c:v>0.348678440100001</c:v>
                </c:pt>
                <c:pt idx="43">
                  <c:v>0.405912455021876</c:v>
                </c:pt>
                <c:pt idx="44">
                  <c:v>0.470427017600001</c:v>
                </c:pt>
                <c:pt idx="45">
                  <c:v>0.542895639553127</c:v>
                </c:pt>
                <c:pt idx="46">
                  <c:v>0.624032145100002</c:v>
                </c:pt>
                <c:pt idx="47">
                  <c:v>0.659081523200002</c:v>
                </c:pt>
                <c:pt idx="48">
                  <c:v>0.695688369300002</c:v>
                </c:pt>
                <c:pt idx="49">
                  <c:v>0.733904022400002</c:v>
                </c:pt>
                <c:pt idx="50">
                  <c:v>0.773780937500002</c:v>
                </c:pt>
                <c:pt idx="51">
                  <c:v>0.815372697600003</c:v>
                </c:pt>
                <c:pt idx="52">
                  <c:v>0.858734025700003</c:v>
                </c:pt>
                <c:pt idx="53">
                  <c:v>0.903920796800003</c:v>
                </c:pt>
                <c:pt idx="54">
                  <c:v>0.950990049900003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</c:numCache>
            </c:numRef>
          </c:yVal>
          <c:smooth val="1"/>
        </c:ser>
        <c:ser>
          <c:idx val="3"/>
          <c:order val="1"/>
          <c:tx>
            <c:strRef>
              <c:f>'Gamma_k,theta'!$L$4</c:f>
              <c:strCache>
                <c:ptCount val="1"/>
                <c:pt idx="0">
                  <c:v>B(a=1;b=3)-CDF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'Gamma_k,theta'!$C$5:$C$66</c:f>
              <c:numCache>
                <c:formatCode>0.000</c:formatCode>
                <c:ptCount val="62"/>
                <c:pt idx="0">
                  <c:v>0.0</c:v>
                </c:pt>
                <c:pt idx="1">
                  <c:v>0.001</c:v>
                </c:pt>
                <c:pt idx="2">
                  <c:v>0.002</c:v>
                </c:pt>
                <c:pt idx="3">
                  <c:v>0.003</c:v>
                </c:pt>
                <c:pt idx="4">
                  <c:v>0.004</c:v>
                </c:pt>
                <c:pt idx="5">
                  <c:v>0.005</c:v>
                </c:pt>
                <c:pt idx="6">
                  <c:v>0.006</c:v>
                </c:pt>
                <c:pt idx="7">
                  <c:v>0.007</c:v>
                </c:pt>
                <c:pt idx="8">
                  <c:v>0.008</c:v>
                </c:pt>
                <c:pt idx="9">
                  <c:v>0.009</c:v>
                </c:pt>
                <c:pt idx="10">
                  <c:v>0.01</c:v>
                </c:pt>
                <c:pt idx="11">
                  <c:v>0.035</c:v>
                </c:pt>
                <c:pt idx="12">
                  <c:v>0.06</c:v>
                </c:pt>
                <c:pt idx="13">
                  <c:v>0.085</c:v>
                </c:pt>
                <c:pt idx="14">
                  <c:v>0.11</c:v>
                </c:pt>
                <c:pt idx="15">
                  <c:v>0.135</c:v>
                </c:pt>
                <c:pt idx="16">
                  <c:v>0.16</c:v>
                </c:pt>
                <c:pt idx="17">
                  <c:v>0.185</c:v>
                </c:pt>
                <c:pt idx="18">
                  <c:v>0.21</c:v>
                </c:pt>
                <c:pt idx="19">
                  <c:v>0.235</c:v>
                </c:pt>
                <c:pt idx="20">
                  <c:v>0.26</c:v>
                </c:pt>
                <c:pt idx="21">
                  <c:v>0.285</c:v>
                </c:pt>
                <c:pt idx="22">
                  <c:v>0.31</c:v>
                </c:pt>
                <c:pt idx="23">
                  <c:v>0.335</c:v>
                </c:pt>
                <c:pt idx="24">
                  <c:v>0.36</c:v>
                </c:pt>
                <c:pt idx="25">
                  <c:v>0.385</c:v>
                </c:pt>
                <c:pt idx="26">
                  <c:v>0.41</c:v>
                </c:pt>
                <c:pt idx="27">
                  <c:v>0.435</c:v>
                </c:pt>
                <c:pt idx="28">
                  <c:v>0.46</c:v>
                </c:pt>
                <c:pt idx="29">
                  <c:v>0.485</c:v>
                </c:pt>
                <c:pt idx="30">
                  <c:v>0.51</c:v>
                </c:pt>
                <c:pt idx="31">
                  <c:v>0.535</c:v>
                </c:pt>
                <c:pt idx="32">
                  <c:v>0.56</c:v>
                </c:pt>
                <c:pt idx="33">
                  <c:v>0.585</c:v>
                </c:pt>
                <c:pt idx="34">
                  <c:v>0.61</c:v>
                </c:pt>
                <c:pt idx="35">
                  <c:v>0.635</c:v>
                </c:pt>
                <c:pt idx="36">
                  <c:v>0.66</c:v>
                </c:pt>
                <c:pt idx="37">
                  <c:v>0.685</c:v>
                </c:pt>
                <c:pt idx="38">
                  <c:v>0.71</c:v>
                </c:pt>
                <c:pt idx="39">
                  <c:v>0.735</c:v>
                </c:pt>
                <c:pt idx="40">
                  <c:v>0.76</c:v>
                </c:pt>
                <c:pt idx="41">
                  <c:v>0.785</c:v>
                </c:pt>
                <c:pt idx="42">
                  <c:v>0.81</c:v>
                </c:pt>
                <c:pt idx="43">
                  <c:v>0.835</c:v>
                </c:pt>
                <c:pt idx="44">
                  <c:v>0.86</c:v>
                </c:pt>
                <c:pt idx="45">
                  <c:v>0.885000000000001</c:v>
                </c:pt>
                <c:pt idx="46">
                  <c:v>0.910000000000001</c:v>
                </c:pt>
                <c:pt idx="47">
                  <c:v>0.920000000000001</c:v>
                </c:pt>
                <c:pt idx="48">
                  <c:v>0.930000000000001</c:v>
                </c:pt>
                <c:pt idx="49">
                  <c:v>0.940000000000001</c:v>
                </c:pt>
                <c:pt idx="50">
                  <c:v>0.950000000000001</c:v>
                </c:pt>
                <c:pt idx="51">
                  <c:v>0.960000000000001</c:v>
                </c:pt>
                <c:pt idx="52">
                  <c:v>0.970000000000001</c:v>
                </c:pt>
                <c:pt idx="53">
                  <c:v>0.980000000000001</c:v>
                </c:pt>
                <c:pt idx="54">
                  <c:v>0.990000000000001</c:v>
                </c:pt>
                <c:pt idx="55">
                  <c:v>1.000000000000001</c:v>
                </c:pt>
                <c:pt idx="56">
                  <c:v>1.010000000000001</c:v>
                </c:pt>
                <c:pt idx="57">
                  <c:v>1.020000000000001</c:v>
                </c:pt>
                <c:pt idx="58">
                  <c:v>1.030000000000001</c:v>
                </c:pt>
                <c:pt idx="59">
                  <c:v>1.040000000000001</c:v>
                </c:pt>
                <c:pt idx="60">
                  <c:v>1.050000000000001</c:v>
                </c:pt>
                <c:pt idx="61">
                  <c:v>1.060000000000001</c:v>
                </c:pt>
              </c:numCache>
            </c:numRef>
          </c:xVal>
          <c:yVal>
            <c:numRef>
              <c:f>'Gamma_k,theta'!$L$5:$L$66</c:f>
              <c:numCache>
                <c:formatCode>0.000000</c:formatCode>
                <c:ptCount val="62"/>
                <c:pt idx="0">
                  <c:v>0.0</c:v>
                </c:pt>
                <c:pt idx="1">
                  <c:v>0.002997001</c:v>
                </c:pt>
                <c:pt idx="2">
                  <c:v>0.005988008</c:v>
                </c:pt>
                <c:pt idx="3">
                  <c:v>0.008973027</c:v>
                </c:pt>
                <c:pt idx="4">
                  <c:v>0.011952064</c:v>
                </c:pt>
                <c:pt idx="5">
                  <c:v>0.014925125</c:v>
                </c:pt>
                <c:pt idx="6">
                  <c:v>0.017892216</c:v>
                </c:pt>
                <c:pt idx="7">
                  <c:v>0.020853343</c:v>
                </c:pt>
                <c:pt idx="8">
                  <c:v>0.023808512</c:v>
                </c:pt>
                <c:pt idx="9">
                  <c:v>0.026757729</c:v>
                </c:pt>
                <c:pt idx="10">
                  <c:v>0.029701</c:v>
                </c:pt>
                <c:pt idx="11">
                  <c:v>0.101367875</c:v>
                </c:pt>
                <c:pt idx="12">
                  <c:v>0.169416</c:v>
                </c:pt>
                <c:pt idx="13">
                  <c:v>0.233939125</c:v>
                </c:pt>
                <c:pt idx="14">
                  <c:v>0.295031</c:v>
                </c:pt>
                <c:pt idx="15">
                  <c:v>0.352785375</c:v>
                </c:pt>
                <c:pt idx="16">
                  <c:v>0.407296</c:v>
                </c:pt>
                <c:pt idx="17">
                  <c:v>0.458656625</c:v>
                </c:pt>
                <c:pt idx="18">
                  <c:v>0.506961</c:v>
                </c:pt>
                <c:pt idx="19">
                  <c:v>0.552302875</c:v>
                </c:pt>
                <c:pt idx="20">
                  <c:v>0.594776</c:v>
                </c:pt>
                <c:pt idx="21">
                  <c:v>0.634474125</c:v>
                </c:pt>
                <c:pt idx="22">
                  <c:v>0.671491</c:v>
                </c:pt>
                <c:pt idx="23">
                  <c:v>0.705920375</c:v>
                </c:pt>
                <c:pt idx="24">
                  <c:v>0.737856</c:v>
                </c:pt>
                <c:pt idx="25">
                  <c:v>0.767391625</c:v>
                </c:pt>
                <c:pt idx="26">
                  <c:v>0.794621</c:v>
                </c:pt>
                <c:pt idx="27">
                  <c:v>0.819637875</c:v>
                </c:pt>
                <c:pt idx="28">
                  <c:v>0.842536</c:v>
                </c:pt>
                <c:pt idx="29">
                  <c:v>0.863409125</c:v>
                </c:pt>
                <c:pt idx="30">
                  <c:v>0.882351</c:v>
                </c:pt>
                <c:pt idx="31">
                  <c:v>0.899455375</c:v>
                </c:pt>
                <c:pt idx="32">
                  <c:v>0.914816</c:v>
                </c:pt>
                <c:pt idx="33">
                  <c:v>0.928526625</c:v>
                </c:pt>
                <c:pt idx="34">
                  <c:v>0.940681</c:v>
                </c:pt>
                <c:pt idx="35">
                  <c:v>0.951372875</c:v>
                </c:pt>
                <c:pt idx="36">
                  <c:v>0.960696</c:v>
                </c:pt>
                <c:pt idx="37">
                  <c:v>0.968744125</c:v>
                </c:pt>
                <c:pt idx="38">
                  <c:v>0.975611</c:v>
                </c:pt>
                <c:pt idx="39">
                  <c:v>0.981390375</c:v>
                </c:pt>
                <c:pt idx="40">
                  <c:v>0.986176</c:v>
                </c:pt>
                <c:pt idx="41">
                  <c:v>0.990061625</c:v>
                </c:pt>
                <c:pt idx="42">
                  <c:v>0.993141</c:v>
                </c:pt>
                <c:pt idx="43">
                  <c:v>0.995507875</c:v>
                </c:pt>
                <c:pt idx="44">
                  <c:v>0.997256</c:v>
                </c:pt>
                <c:pt idx="45">
                  <c:v>0.998479125</c:v>
                </c:pt>
                <c:pt idx="46">
                  <c:v>0.999271</c:v>
                </c:pt>
                <c:pt idx="47">
                  <c:v>0.999488</c:v>
                </c:pt>
                <c:pt idx="48">
                  <c:v>0.999657</c:v>
                </c:pt>
                <c:pt idx="49">
                  <c:v>0.999784</c:v>
                </c:pt>
                <c:pt idx="50">
                  <c:v>0.999875</c:v>
                </c:pt>
                <c:pt idx="51">
                  <c:v>0.999936</c:v>
                </c:pt>
                <c:pt idx="52">
                  <c:v>0.999973</c:v>
                </c:pt>
                <c:pt idx="53">
                  <c:v>0.999992</c:v>
                </c:pt>
                <c:pt idx="54">
                  <c:v>0.999999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</c:numCache>
            </c:numRef>
          </c:yVal>
          <c:smooth val="1"/>
        </c:ser>
        <c:ser>
          <c:idx val="4"/>
          <c:order val="2"/>
          <c:tx>
            <c:strRef>
              <c:f>'Gamma_k,theta'!$O$4</c:f>
              <c:strCache>
                <c:ptCount val="1"/>
                <c:pt idx="0">
                  <c:v>B(a=2;b=2)-CDF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'Gamma_k,theta'!$C$5:$C$66</c:f>
              <c:numCache>
                <c:formatCode>0.000</c:formatCode>
                <c:ptCount val="62"/>
                <c:pt idx="0">
                  <c:v>0.0</c:v>
                </c:pt>
                <c:pt idx="1">
                  <c:v>0.001</c:v>
                </c:pt>
                <c:pt idx="2">
                  <c:v>0.002</c:v>
                </c:pt>
                <c:pt idx="3">
                  <c:v>0.003</c:v>
                </c:pt>
                <c:pt idx="4">
                  <c:v>0.004</c:v>
                </c:pt>
                <c:pt idx="5">
                  <c:v>0.005</c:v>
                </c:pt>
                <c:pt idx="6">
                  <c:v>0.006</c:v>
                </c:pt>
                <c:pt idx="7">
                  <c:v>0.007</c:v>
                </c:pt>
                <c:pt idx="8">
                  <c:v>0.008</c:v>
                </c:pt>
                <c:pt idx="9">
                  <c:v>0.009</c:v>
                </c:pt>
                <c:pt idx="10">
                  <c:v>0.01</c:v>
                </c:pt>
                <c:pt idx="11">
                  <c:v>0.035</c:v>
                </c:pt>
                <c:pt idx="12">
                  <c:v>0.06</c:v>
                </c:pt>
                <c:pt idx="13">
                  <c:v>0.085</c:v>
                </c:pt>
                <c:pt idx="14">
                  <c:v>0.11</c:v>
                </c:pt>
                <c:pt idx="15">
                  <c:v>0.135</c:v>
                </c:pt>
                <c:pt idx="16">
                  <c:v>0.16</c:v>
                </c:pt>
                <c:pt idx="17">
                  <c:v>0.185</c:v>
                </c:pt>
                <c:pt idx="18">
                  <c:v>0.21</c:v>
                </c:pt>
                <c:pt idx="19">
                  <c:v>0.235</c:v>
                </c:pt>
                <c:pt idx="20">
                  <c:v>0.26</c:v>
                </c:pt>
                <c:pt idx="21">
                  <c:v>0.285</c:v>
                </c:pt>
                <c:pt idx="22">
                  <c:v>0.31</c:v>
                </c:pt>
                <c:pt idx="23">
                  <c:v>0.335</c:v>
                </c:pt>
                <c:pt idx="24">
                  <c:v>0.36</c:v>
                </c:pt>
                <c:pt idx="25">
                  <c:v>0.385</c:v>
                </c:pt>
                <c:pt idx="26">
                  <c:v>0.41</c:v>
                </c:pt>
                <c:pt idx="27">
                  <c:v>0.435</c:v>
                </c:pt>
                <c:pt idx="28">
                  <c:v>0.46</c:v>
                </c:pt>
                <c:pt idx="29">
                  <c:v>0.485</c:v>
                </c:pt>
                <c:pt idx="30">
                  <c:v>0.51</c:v>
                </c:pt>
                <c:pt idx="31">
                  <c:v>0.535</c:v>
                </c:pt>
                <c:pt idx="32">
                  <c:v>0.56</c:v>
                </c:pt>
                <c:pt idx="33">
                  <c:v>0.585</c:v>
                </c:pt>
                <c:pt idx="34">
                  <c:v>0.61</c:v>
                </c:pt>
                <c:pt idx="35">
                  <c:v>0.635</c:v>
                </c:pt>
                <c:pt idx="36">
                  <c:v>0.66</c:v>
                </c:pt>
                <c:pt idx="37">
                  <c:v>0.685</c:v>
                </c:pt>
                <c:pt idx="38">
                  <c:v>0.71</c:v>
                </c:pt>
                <c:pt idx="39">
                  <c:v>0.735</c:v>
                </c:pt>
                <c:pt idx="40">
                  <c:v>0.76</c:v>
                </c:pt>
                <c:pt idx="41">
                  <c:v>0.785</c:v>
                </c:pt>
                <c:pt idx="42">
                  <c:v>0.81</c:v>
                </c:pt>
                <c:pt idx="43">
                  <c:v>0.835</c:v>
                </c:pt>
                <c:pt idx="44">
                  <c:v>0.86</c:v>
                </c:pt>
                <c:pt idx="45">
                  <c:v>0.885000000000001</c:v>
                </c:pt>
                <c:pt idx="46">
                  <c:v>0.910000000000001</c:v>
                </c:pt>
                <c:pt idx="47">
                  <c:v>0.920000000000001</c:v>
                </c:pt>
                <c:pt idx="48">
                  <c:v>0.930000000000001</c:v>
                </c:pt>
                <c:pt idx="49">
                  <c:v>0.940000000000001</c:v>
                </c:pt>
                <c:pt idx="50">
                  <c:v>0.950000000000001</c:v>
                </c:pt>
                <c:pt idx="51">
                  <c:v>0.960000000000001</c:v>
                </c:pt>
                <c:pt idx="52">
                  <c:v>0.970000000000001</c:v>
                </c:pt>
                <c:pt idx="53">
                  <c:v>0.980000000000001</c:v>
                </c:pt>
                <c:pt idx="54">
                  <c:v>0.990000000000001</c:v>
                </c:pt>
                <c:pt idx="55">
                  <c:v>1.000000000000001</c:v>
                </c:pt>
                <c:pt idx="56">
                  <c:v>1.010000000000001</c:v>
                </c:pt>
                <c:pt idx="57">
                  <c:v>1.020000000000001</c:v>
                </c:pt>
                <c:pt idx="58">
                  <c:v>1.030000000000001</c:v>
                </c:pt>
                <c:pt idx="59">
                  <c:v>1.040000000000001</c:v>
                </c:pt>
                <c:pt idx="60">
                  <c:v>1.050000000000001</c:v>
                </c:pt>
                <c:pt idx="61">
                  <c:v>1.060000000000001</c:v>
                </c:pt>
              </c:numCache>
            </c:numRef>
          </c:xVal>
          <c:yVal>
            <c:numRef>
              <c:f>'Gamma_k,theta'!$O$5:$O$66</c:f>
              <c:numCache>
                <c:formatCode>0.000000</c:formatCode>
                <c:ptCount val="62"/>
                <c:pt idx="0">
                  <c:v>0.0</c:v>
                </c:pt>
                <c:pt idx="1">
                  <c:v>2.998E-6</c:v>
                </c:pt>
                <c:pt idx="2">
                  <c:v>1.1984E-5</c:v>
                </c:pt>
                <c:pt idx="3">
                  <c:v>2.6946E-5</c:v>
                </c:pt>
                <c:pt idx="4">
                  <c:v>4.7872E-5</c:v>
                </c:pt>
                <c:pt idx="5">
                  <c:v>7.475E-5</c:v>
                </c:pt>
                <c:pt idx="6">
                  <c:v>0.000107568</c:v>
                </c:pt>
                <c:pt idx="7">
                  <c:v>0.000146314</c:v>
                </c:pt>
                <c:pt idx="8">
                  <c:v>0.000190976</c:v>
                </c:pt>
                <c:pt idx="9">
                  <c:v>0.000241542</c:v>
                </c:pt>
                <c:pt idx="10">
                  <c:v>0.000298</c:v>
                </c:pt>
                <c:pt idx="11">
                  <c:v>0.00358925</c:v>
                </c:pt>
                <c:pt idx="12">
                  <c:v>0.010368</c:v>
                </c:pt>
                <c:pt idx="13">
                  <c:v>0.02044675</c:v>
                </c:pt>
                <c:pt idx="14">
                  <c:v>0.033638</c:v>
                </c:pt>
                <c:pt idx="15">
                  <c:v>0.04975425</c:v>
                </c:pt>
                <c:pt idx="16">
                  <c:v>0.068608</c:v>
                </c:pt>
                <c:pt idx="17">
                  <c:v>0.09001175</c:v>
                </c:pt>
                <c:pt idx="18">
                  <c:v>0.113778</c:v>
                </c:pt>
                <c:pt idx="19">
                  <c:v>0.13971925</c:v>
                </c:pt>
                <c:pt idx="20">
                  <c:v>0.167648</c:v>
                </c:pt>
                <c:pt idx="21">
                  <c:v>0.19737675</c:v>
                </c:pt>
                <c:pt idx="22">
                  <c:v>0.228718</c:v>
                </c:pt>
                <c:pt idx="23">
                  <c:v>0.26148425</c:v>
                </c:pt>
                <c:pt idx="24">
                  <c:v>0.295488</c:v>
                </c:pt>
                <c:pt idx="25">
                  <c:v>0.33054175</c:v>
                </c:pt>
                <c:pt idx="26">
                  <c:v>0.366458</c:v>
                </c:pt>
                <c:pt idx="27">
                  <c:v>0.40304925</c:v>
                </c:pt>
                <c:pt idx="28">
                  <c:v>0.440128</c:v>
                </c:pt>
                <c:pt idx="29">
                  <c:v>0.47750675</c:v>
                </c:pt>
                <c:pt idx="30">
                  <c:v>0.514998</c:v>
                </c:pt>
                <c:pt idx="31">
                  <c:v>0.55241425</c:v>
                </c:pt>
                <c:pt idx="32">
                  <c:v>0.589568</c:v>
                </c:pt>
                <c:pt idx="33">
                  <c:v>0.62627175</c:v>
                </c:pt>
                <c:pt idx="34">
                  <c:v>0.662338</c:v>
                </c:pt>
                <c:pt idx="35">
                  <c:v>0.69757925</c:v>
                </c:pt>
                <c:pt idx="36">
                  <c:v>0.731808</c:v>
                </c:pt>
                <c:pt idx="37">
                  <c:v>0.764836750000001</c:v>
                </c:pt>
                <c:pt idx="38">
                  <c:v>0.796478</c:v>
                </c:pt>
                <c:pt idx="39">
                  <c:v>0.82654425</c:v>
                </c:pt>
                <c:pt idx="40">
                  <c:v>0.854848</c:v>
                </c:pt>
                <c:pt idx="41">
                  <c:v>0.88120175</c:v>
                </c:pt>
                <c:pt idx="42">
                  <c:v>0.905418</c:v>
                </c:pt>
                <c:pt idx="43">
                  <c:v>0.92730925</c:v>
                </c:pt>
                <c:pt idx="44">
                  <c:v>0.946688</c:v>
                </c:pt>
                <c:pt idx="45">
                  <c:v>0.96336675</c:v>
                </c:pt>
                <c:pt idx="46">
                  <c:v>0.977158</c:v>
                </c:pt>
                <c:pt idx="47">
                  <c:v>0.981824</c:v>
                </c:pt>
                <c:pt idx="48">
                  <c:v>0.985986</c:v>
                </c:pt>
                <c:pt idx="49">
                  <c:v>0.989632</c:v>
                </c:pt>
                <c:pt idx="50">
                  <c:v>0.99275</c:v>
                </c:pt>
                <c:pt idx="51">
                  <c:v>0.995328</c:v>
                </c:pt>
                <c:pt idx="52">
                  <c:v>0.997354</c:v>
                </c:pt>
                <c:pt idx="53">
                  <c:v>0.998816</c:v>
                </c:pt>
                <c:pt idx="54">
                  <c:v>0.999702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</c:numCache>
            </c:numRef>
          </c:yVal>
          <c:smooth val="1"/>
        </c:ser>
        <c:ser>
          <c:idx val="5"/>
          <c:order val="3"/>
          <c:tx>
            <c:strRef>
              <c:f>'Gamma_k,theta'!$R$4</c:f>
              <c:strCache>
                <c:ptCount val="1"/>
                <c:pt idx="0">
                  <c:v>B(a=2;b=5)-CDF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'Gamma_k,theta'!$C$5:$C$66</c:f>
              <c:numCache>
                <c:formatCode>0.000</c:formatCode>
                <c:ptCount val="62"/>
                <c:pt idx="0">
                  <c:v>0.0</c:v>
                </c:pt>
                <c:pt idx="1">
                  <c:v>0.001</c:v>
                </c:pt>
                <c:pt idx="2">
                  <c:v>0.002</c:v>
                </c:pt>
                <c:pt idx="3">
                  <c:v>0.003</c:v>
                </c:pt>
                <c:pt idx="4">
                  <c:v>0.004</c:v>
                </c:pt>
                <c:pt idx="5">
                  <c:v>0.005</c:v>
                </c:pt>
                <c:pt idx="6">
                  <c:v>0.006</c:v>
                </c:pt>
                <c:pt idx="7">
                  <c:v>0.007</c:v>
                </c:pt>
                <c:pt idx="8">
                  <c:v>0.008</c:v>
                </c:pt>
                <c:pt idx="9">
                  <c:v>0.009</c:v>
                </c:pt>
                <c:pt idx="10">
                  <c:v>0.01</c:v>
                </c:pt>
                <c:pt idx="11">
                  <c:v>0.035</c:v>
                </c:pt>
                <c:pt idx="12">
                  <c:v>0.06</c:v>
                </c:pt>
                <c:pt idx="13">
                  <c:v>0.085</c:v>
                </c:pt>
                <c:pt idx="14">
                  <c:v>0.11</c:v>
                </c:pt>
                <c:pt idx="15">
                  <c:v>0.135</c:v>
                </c:pt>
                <c:pt idx="16">
                  <c:v>0.16</c:v>
                </c:pt>
                <c:pt idx="17">
                  <c:v>0.185</c:v>
                </c:pt>
                <c:pt idx="18">
                  <c:v>0.21</c:v>
                </c:pt>
                <c:pt idx="19">
                  <c:v>0.235</c:v>
                </c:pt>
                <c:pt idx="20">
                  <c:v>0.26</c:v>
                </c:pt>
                <c:pt idx="21">
                  <c:v>0.285</c:v>
                </c:pt>
                <c:pt idx="22">
                  <c:v>0.31</c:v>
                </c:pt>
                <c:pt idx="23">
                  <c:v>0.335</c:v>
                </c:pt>
                <c:pt idx="24">
                  <c:v>0.36</c:v>
                </c:pt>
                <c:pt idx="25">
                  <c:v>0.385</c:v>
                </c:pt>
                <c:pt idx="26">
                  <c:v>0.41</c:v>
                </c:pt>
                <c:pt idx="27">
                  <c:v>0.435</c:v>
                </c:pt>
                <c:pt idx="28">
                  <c:v>0.46</c:v>
                </c:pt>
                <c:pt idx="29">
                  <c:v>0.485</c:v>
                </c:pt>
                <c:pt idx="30">
                  <c:v>0.51</c:v>
                </c:pt>
                <c:pt idx="31">
                  <c:v>0.535</c:v>
                </c:pt>
                <c:pt idx="32">
                  <c:v>0.56</c:v>
                </c:pt>
                <c:pt idx="33">
                  <c:v>0.585</c:v>
                </c:pt>
                <c:pt idx="34">
                  <c:v>0.61</c:v>
                </c:pt>
                <c:pt idx="35">
                  <c:v>0.635</c:v>
                </c:pt>
                <c:pt idx="36">
                  <c:v>0.66</c:v>
                </c:pt>
                <c:pt idx="37">
                  <c:v>0.685</c:v>
                </c:pt>
                <c:pt idx="38">
                  <c:v>0.71</c:v>
                </c:pt>
                <c:pt idx="39">
                  <c:v>0.735</c:v>
                </c:pt>
                <c:pt idx="40">
                  <c:v>0.76</c:v>
                </c:pt>
                <c:pt idx="41">
                  <c:v>0.785</c:v>
                </c:pt>
                <c:pt idx="42">
                  <c:v>0.81</c:v>
                </c:pt>
                <c:pt idx="43">
                  <c:v>0.835</c:v>
                </c:pt>
                <c:pt idx="44">
                  <c:v>0.86</c:v>
                </c:pt>
                <c:pt idx="45">
                  <c:v>0.885000000000001</c:v>
                </c:pt>
                <c:pt idx="46">
                  <c:v>0.910000000000001</c:v>
                </c:pt>
                <c:pt idx="47">
                  <c:v>0.920000000000001</c:v>
                </c:pt>
                <c:pt idx="48">
                  <c:v>0.930000000000001</c:v>
                </c:pt>
                <c:pt idx="49">
                  <c:v>0.940000000000001</c:v>
                </c:pt>
                <c:pt idx="50">
                  <c:v>0.950000000000001</c:v>
                </c:pt>
                <c:pt idx="51">
                  <c:v>0.960000000000001</c:v>
                </c:pt>
                <c:pt idx="52">
                  <c:v>0.970000000000001</c:v>
                </c:pt>
                <c:pt idx="53">
                  <c:v>0.980000000000001</c:v>
                </c:pt>
                <c:pt idx="54">
                  <c:v>0.990000000000001</c:v>
                </c:pt>
                <c:pt idx="55">
                  <c:v>1.000000000000001</c:v>
                </c:pt>
                <c:pt idx="56">
                  <c:v>1.010000000000001</c:v>
                </c:pt>
                <c:pt idx="57">
                  <c:v>1.020000000000001</c:v>
                </c:pt>
                <c:pt idx="58">
                  <c:v>1.030000000000001</c:v>
                </c:pt>
                <c:pt idx="59">
                  <c:v>1.040000000000001</c:v>
                </c:pt>
                <c:pt idx="60">
                  <c:v>1.050000000000001</c:v>
                </c:pt>
                <c:pt idx="61">
                  <c:v>1.060000000000001</c:v>
                </c:pt>
              </c:numCache>
            </c:numRef>
          </c:xVal>
          <c:yVal>
            <c:numRef>
              <c:f>'Gamma_k,theta'!$R$5:$R$66</c:f>
              <c:numCache>
                <c:formatCode>0.000000</c:formatCode>
                <c:ptCount val="62"/>
                <c:pt idx="0">
                  <c:v>0.0</c:v>
                </c:pt>
                <c:pt idx="1">
                  <c:v>1.4960044976005E-5</c:v>
                </c:pt>
                <c:pt idx="2">
                  <c:v>5.968071923232E-5</c:v>
                </c:pt>
                <c:pt idx="3">
                  <c:v>0.000133923639171645</c:v>
                </c:pt>
                <c:pt idx="4">
                  <c:v>0.00023745149544448</c:v>
                </c:pt>
                <c:pt idx="5">
                  <c:v>0.000370028050078125</c:v>
                </c:pt>
                <c:pt idx="6">
                  <c:v>0.00053141813360928</c:v>
                </c:pt>
                <c:pt idx="7">
                  <c:v>0.000721387642220245</c:v>
                </c:pt>
                <c:pt idx="8">
                  <c:v>0.000939703534878719</c:v>
                </c:pt>
                <c:pt idx="9">
                  <c:v>0.0011861338304812</c:v>
                </c:pt>
                <c:pt idx="10">
                  <c:v>0.001460447605</c:v>
                </c:pt>
                <c:pt idx="11">
                  <c:v>0.0167262767913281</c:v>
                </c:pt>
                <c:pt idx="12">
                  <c:v>0.04592477088</c:v>
                </c:pt>
                <c:pt idx="13">
                  <c:v>0.0860544245975781</c:v>
                </c:pt>
                <c:pt idx="14">
                  <c:v>0.134470785405</c:v>
                </c:pt>
                <c:pt idx="15">
                  <c:v>0.188860877325703</c:v>
                </c:pt>
                <c:pt idx="16">
                  <c:v>0.24721850368</c:v>
                </c:pt>
                <c:pt idx="17">
                  <c:v>0.307820428725703</c:v>
                </c:pt>
                <c:pt idx="18">
                  <c:v>0.369203438205</c:v>
                </c:pt>
                <c:pt idx="19">
                  <c:v>0.430142278797578</c:v>
                </c:pt>
                <c:pt idx="20">
                  <c:v>0.48962847648</c:v>
                </c:pt>
                <c:pt idx="21">
                  <c:v>0.546850033791328</c:v>
                </c:pt>
                <c:pt idx="22">
                  <c:v>0.601172006005</c:v>
                </c:pt>
                <c:pt idx="23">
                  <c:v>0.652117956206953</c:v>
                </c:pt>
                <c:pt idx="24">
                  <c:v>0.69935228928</c:v>
                </c:pt>
                <c:pt idx="25">
                  <c:v>0.742663464794453</c:v>
                </c:pt>
                <c:pt idx="26">
                  <c:v>0.781948088805</c:v>
                </c:pt>
                <c:pt idx="27">
                  <c:v>0.817195884553828</c:v>
                </c:pt>
                <c:pt idx="28">
                  <c:v>0.84847554208</c:v>
                </c:pt>
                <c:pt idx="29">
                  <c:v>0.875921446735078</c:v>
                </c:pt>
                <c:pt idx="30">
                  <c:v>0.899721286605</c:v>
                </c:pt>
                <c:pt idx="31">
                  <c:v>0.920104538838203</c:v>
                </c:pt>
                <c:pt idx="32">
                  <c:v>0.93733183488</c:v>
                </c:pt>
                <c:pt idx="33">
                  <c:v>0.951685204613203</c:v>
                </c:pt>
                <c:pt idx="34">
                  <c:v>0.963459199405</c:v>
                </c:pt>
                <c:pt idx="35">
                  <c:v>0.972952894060078</c:v>
                </c:pt>
                <c:pt idx="36">
                  <c:v>0.98046276768</c:v>
                </c:pt>
                <c:pt idx="37">
                  <c:v>0.986276463428828</c:v>
                </c:pt>
                <c:pt idx="38">
                  <c:v>0.990667427205</c:v>
                </c:pt>
                <c:pt idx="39">
                  <c:v>0.993890425219453</c:v>
                </c:pt>
                <c:pt idx="40">
                  <c:v>0.99617794048</c:v>
                </c:pt>
                <c:pt idx="41">
                  <c:v>0.997737448181953</c:v>
                </c:pt>
                <c:pt idx="42">
                  <c:v>0.998749570005</c:v>
                </c:pt>
                <c:pt idx="43">
                  <c:v>0.999367107316328</c:v>
                </c:pt>
                <c:pt idx="44">
                  <c:v>0.99971495328</c:v>
                </c:pt>
                <c:pt idx="45">
                  <c:v>0.999890883872578</c:v>
                </c:pt>
                <c:pt idx="46">
                  <c:v>0.999967227805</c:v>
                </c:pt>
                <c:pt idx="47">
                  <c:v>0.99998164992</c:v>
                </c:pt>
                <c:pt idx="48">
                  <c:v>0.999990504045</c:v>
                </c:pt>
                <c:pt idx="49">
                  <c:v>0.99999556768</c:v>
                </c:pt>
                <c:pt idx="50">
                  <c:v>0.999998203125</c:v>
                </c:pt>
                <c:pt idx="51">
                  <c:v>0.99999940608</c:v>
                </c:pt>
                <c:pt idx="52">
                  <c:v>0.999999857845</c:v>
                </c:pt>
                <c:pt idx="53">
                  <c:v>0.99999998112</c:v>
                </c:pt>
                <c:pt idx="54">
                  <c:v>0.999999999405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'Gamma_k,theta'!$F$4</c:f>
              <c:strCache>
                <c:ptCount val="1"/>
                <c:pt idx="0">
                  <c:v>B(a=0.5;b=0.5)-CDF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'Gamma_k,theta'!$C$5:$C$66</c:f>
              <c:numCache>
                <c:formatCode>0.000</c:formatCode>
                <c:ptCount val="62"/>
                <c:pt idx="0">
                  <c:v>0.0</c:v>
                </c:pt>
                <c:pt idx="1">
                  <c:v>0.001</c:v>
                </c:pt>
                <c:pt idx="2">
                  <c:v>0.002</c:v>
                </c:pt>
                <c:pt idx="3">
                  <c:v>0.003</c:v>
                </c:pt>
                <c:pt idx="4">
                  <c:v>0.004</c:v>
                </c:pt>
                <c:pt idx="5">
                  <c:v>0.005</c:v>
                </c:pt>
                <c:pt idx="6">
                  <c:v>0.006</c:v>
                </c:pt>
                <c:pt idx="7">
                  <c:v>0.007</c:v>
                </c:pt>
                <c:pt idx="8">
                  <c:v>0.008</c:v>
                </c:pt>
                <c:pt idx="9">
                  <c:v>0.009</c:v>
                </c:pt>
                <c:pt idx="10">
                  <c:v>0.01</c:v>
                </c:pt>
                <c:pt idx="11">
                  <c:v>0.035</c:v>
                </c:pt>
                <c:pt idx="12">
                  <c:v>0.06</c:v>
                </c:pt>
                <c:pt idx="13">
                  <c:v>0.085</c:v>
                </c:pt>
                <c:pt idx="14">
                  <c:v>0.11</c:v>
                </c:pt>
                <c:pt idx="15">
                  <c:v>0.135</c:v>
                </c:pt>
                <c:pt idx="16">
                  <c:v>0.16</c:v>
                </c:pt>
                <c:pt idx="17">
                  <c:v>0.185</c:v>
                </c:pt>
                <c:pt idx="18">
                  <c:v>0.21</c:v>
                </c:pt>
                <c:pt idx="19">
                  <c:v>0.235</c:v>
                </c:pt>
                <c:pt idx="20">
                  <c:v>0.26</c:v>
                </c:pt>
                <c:pt idx="21">
                  <c:v>0.285</c:v>
                </c:pt>
                <c:pt idx="22">
                  <c:v>0.31</c:v>
                </c:pt>
                <c:pt idx="23">
                  <c:v>0.335</c:v>
                </c:pt>
                <c:pt idx="24">
                  <c:v>0.36</c:v>
                </c:pt>
                <c:pt idx="25">
                  <c:v>0.385</c:v>
                </c:pt>
                <c:pt idx="26">
                  <c:v>0.41</c:v>
                </c:pt>
                <c:pt idx="27">
                  <c:v>0.435</c:v>
                </c:pt>
                <c:pt idx="28">
                  <c:v>0.46</c:v>
                </c:pt>
                <c:pt idx="29">
                  <c:v>0.485</c:v>
                </c:pt>
                <c:pt idx="30">
                  <c:v>0.51</c:v>
                </c:pt>
                <c:pt idx="31">
                  <c:v>0.535</c:v>
                </c:pt>
                <c:pt idx="32">
                  <c:v>0.56</c:v>
                </c:pt>
                <c:pt idx="33">
                  <c:v>0.585</c:v>
                </c:pt>
                <c:pt idx="34">
                  <c:v>0.61</c:v>
                </c:pt>
                <c:pt idx="35">
                  <c:v>0.635</c:v>
                </c:pt>
                <c:pt idx="36">
                  <c:v>0.66</c:v>
                </c:pt>
                <c:pt idx="37">
                  <c:v>0.685</c:v>
                </c:pt>
                <c:pt idx="38">
                  <c:v>0.71</c:v>
                </c:pt>
                <c:pt idx="39">
                  <c:v>0.735</c:v>
                </c:pt>
                <c:pt idx="40">
                  <c:v>0.76</c:v>
                </c:pt>
                <c:pt idx="41">
                  <c:v>0.785</c:v>
                </c:pt>
                <c:pt idx="42">
                  <c:v>0.81</c:v>
                </c:pt>
                <c:pt idx="43">
                  <c:v>0.835</c:v>
                </c:pt>
                <c:pt idx="44">
                  <c:v>0.86</c:v>
                </c:pt>
                <c:pt idx="45">
                  <c:v>0.885000000000001</c:v>
                </c:pt>
                <c:pt idx="46">
                  <c:v>0.910000000000001</c:v>
                </c:pt>
                <c:pt idx="47">
                  <c:v>0.920000000000001</c:v>
                </c:pt>
                <c:pt idx="48">
                  <c:v>0.930000000000001</c:v>
                </c:pt>
                <c:pt idx="49">
                  <c:v>0.940000000000001</c:v>
                </c:pt>
                <c:pt idx="50">
                  <c:v>0.950000000000001</c:v>
                </c:pt>
                <c:pt idx="51">
                  <c:v>0.960000000000001</c:v>
                </c:pt>
                <c:pt idx="52">
                  <c:v>0.970000000000001</c:v>
                </c:pt>
                <c:pt idx="53">
                  <c:v>0.980000000000001</c:v>
                </c:pt>
                <c:pt idx="54">
                  <c:v>0.990000000000001</c:v>
                </c:pt>
                <c:pt idx="55">
                  <c:v>1.000000000000001</c:v>
                </c:pt>
                <c:pt idx="56">
                  <c:v>1.010000000000001</c:v>
                </c:pt>
                <c:pt idx="57">
                  <c:v>1.020000000000001</c:v>
                </c:pt>
                <c:pt idx="58">
                  <c:v>1.030000000000001</c:v>
                </c:pt>
                <c:pt idx="59">
                  <c:v>1.040000000000001</c:v>
                </c:pt>
                <c:pt idx="60">
                  <c:v>1.050000000000001</c:v>
                </c:pt>
                <c:pt idx="61">
                  <c:v>1.060000000000001</c:v>
                </c:pt>
              </c:numCache>
            </c:numRef>
          </c:xVal>
          <c:yVal>
            <c:numRef>
              <c:f>'Gamma_k,theta'!$F$5:$F$66</c:f>
              <c:numCache>
                <c:formatCode>0.000000</c:formatCode>
                <c:ptCount val="62"/>
                <c:pt idx="0">
                  <c:v>0.0</c:v>
                </c:pt>
                <c:pt idx="1">
                  <c:v>0.0201350416333775</c:v>
                </c:pt>
                <c:pt idx="2">
                  <c:v>0.0284800004552651</c:v>
                </c:pt>
                <c:pt idx="3">
                  <c:v>0.0348865591172057</c:v>
                </c:pt>
                <c:pt idx="4">
                  <c:v>0.0402902603614412</c:v>
                </c:pt>
                <c:pt idx="5">
                  <c:v>0.0450534136444121</c:v>
                </c:pt>
                <c:pt idx="6">
                  <c:v>0.0493618015012671</c:v>
                </c:pt>
                <c:pt idx="7">
                  <c:v>0.0533257687968887</c:v>
                </c:pt>
                <c:pt idx="8">
                  <c:v>0.057017199436792</c:v>
                </c:pt>
                <c:pt idx="9">
                  <c:v>0.0604860159847835</c:v>
                </c:pt>
                <c:pt idx="10">
                  <c:v>0.0637685608585198</c:v>
                </c:pt>
                <c:pt idx="11">
                  <c:v>0.119806583418015</c:v>
                </c:pt>
                <c:pt idx="12">
                  <c:v>0.157542425424044</c:v>
                </c:pt>
                <c:pt idx="13">
                  <c:v>0.188340344427035</c:v>
                </c:pt>
                <c:pt idx="14">
                  <c:v>0.215219025543643</c:v>
                </c:pt>
                <c:pt idx="15">
                  <c:v>0.239520033032771</c:v>
                </c:pt>
                <c:pt idx="16">
                  <c:v>0.261979760868909</c:v>
                </c:pt>
                <c:pt idx="17">
                  <c:v>0.283054874799147</c:v>
                </c:pt>
                <c:pt idx="18">
                  <c:v>0.30305254089347</c:v>
                </c:pt>
                <c:pt idx="19">
                  <c:v>0.322191917623532</c:v>
                </c:pt>
                <c:pt idx="20">
                  <c:v>0.340636655477117</c:v>
                </c:pt>
                <c:pt idx="21">
                  <c:v>0.358513554764042</c:v>
                </c:pt>
                <c:pt idx="22">
                  <c:v>0.375923985234415</c:v>
                </c:pt>
                <c:pt idx="23">
                  <c:v>0.392951247269535</c:v>
                </c:pt>
                <c:pt idx="24">
                  <c:v>0.409665529398267</c:v>
                </c:pt>
                <c:pt idx="25">
                  <c:v>0.426127379182172</c:v>
                </c:pt>
                <c:pt idx="26">
                  <c:v>0.442390223302903</c:v>
                </c:pt>
                <c:pt idx="27">
                  <c:v>0.458502264908795</c:v>
                </c:pt>
                <c:pt idx="28">
                  <c:v>0.474507968134523</c:v>
                </c:pt>
                <c:pt idx="29">
                  <c:v>0.490449270439568</c:v>
                </c:pt>
                <c:pt idx="30">
                  <c:v>0.50636662221327</c:v>
                </c:pt>
                <c:pt idx="31">
                  <c:v>0.522299928989202</c:v>
                </c:pt>
                <c:pt idx="32">
                  <c:v>0.538289458774147</c:v>
                </c:pt>
                <c:pt idx="33">
                  <c:v>0.5543767725373</c:v>
                </c:pt>
                <c:pt idx="34">
                  <c:v>0.570605738857753</c:v>
                </c:pt>
                <c:pt idx="35">
                  <c:v>0.587023704729853</c:v>
                </c:pt>
                <c:pt idx="36">
                  <c:v>0.603682916027458</c:v>
                </c:pt>
                <c:pt idx="37">
                  <c:v>0.620642318240358</c:v>
                </c:pt>
                <c:pt idx="38">
                  <c:v>0.637969930498343</c:v>
                </c:pt>
                <c:pt idx="39">
                  <c:v>0.655746091860452</c:v>
                </c:pt>
                <c:pt idx="40">
                  <c:v>0.674068063875524</c:v>
                </c:pt>
                <c:pt idx="41">
                  <c:v>0.693056809742681</c:v>
                </c:pt>
                <c:pt idx="42">
                  <c:v>0.712867413742588</c:v>
                </c:pt>
                <c:pt idx="43">
                  <c:v>0.733705915569418</c:v>
                </c:pt>
                <c:pt idx="44">
                  <c:v>0.75585822465384</c:v>
                </c:pt>
                <c:pt idx="45">
                  <c:v>0.779743826961258</c:v>
                </c:pt>
                <c:pt idx="46">
                  <c:v>0.806026631958644</c:v>
                </c:pt>
                <c:pt idx="47">
                  <c:v>0.817445109006172</c:v>
                </c:pt>
                <c:pt idx="48">
                  <c:v>0.829536571616802</c:v>
                </c:pt>
                <c:pt idx="49">
                  <c:v>0.842457574575956</c:v>
                </c:pt>
                <c:pt idx="50">
                  <c:v>0.856433706871295</c:v>
                </c:pt>
                <c:pt idx="51">
                  <c:v>0.871811566302051</c:v>
                </c:pt>
                <c:pt idx="52">
                  <c:v>0.889175313395542</c:v>
                </c:pt>
                <c:pt idx="53">
                  <c:v>0.909665529398268</c:v>
                </c:pt>
                <c:pt idx="54">
                  <c:v>0.936231439141482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3720936"/>
        <c:axId val="2113724072"/>
      </c:scatterChart>
      <c:valAx>
        <c:axId val="2113720936"/>
        <c:scaling>
          <c:orientation val="minMax"/>
        </c:scaling>
        <c:delete val="0"/>
        <c:axPos val="b"/>
        <c:majorGridlines/>
        <c:numFmt formatCode="0.000" sourceLinked="1"/>
        <c:majorTickMark val="out"/>
        <c:minorTickMark val="none"/>
        <c:tickLblPos val="nextTo"/>
        <c:crossAx val="2113724072"/>
        <c:crosses val="autoZero"/>
        <c:crossBetween val="midCat"/>
      </c:valAx>
      <c:valAx>
        <c:axId val="2113724072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211372093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114300</xdr:colOff>
      <xdr:row>1</xdr:row>
      <xdr:rowOff>38100</xdr:rowOff>
    </xdr:from>
    <xdr:to>
      <xdr:col>28</xdr:col>
      <xdr:colOff>0</xdr:colOff>
      <xdr:row>27</xdr:row>
      <xdr:rowOff>139700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114300</xdr:colOff>
      <xdr:row>28</xdr:row>
      <xdr:rowOff>139700</xdr:rowOff>
    </xdr:from>
    <xdr:to>
      <xdr:col>28</xdr:col>
      <xdr:colOff>12700</xdr:colOff>
      <xdr:row>51</xdr:row>
      <xdr:rowOff>127000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R66"/>
  <sheetViews>
    <sheetView tabSelected="1" workbookViewId="0">
      <selection activeCell="N20" sqref="N20"/>
    </sheetView>
  </sheetViews>
  <sheetFormatPr baseColWidth="10" defaultRowHeight="15" x14ac:dyDescent="0"/>
  <cols>
    <col min="1" max="1" width="2.1640625" customWidth="1"/>
    <col min="4" max="4" width="9" customWidth="1"/>
    <col min="7" max="7" width="2.5" customWidth="1"/>
    <col min="10" max="10" width="2.1640625" customWidth="1"/>
    <col min="13" max="13" width="2.1640625" customWidth="1"/>
    <col min="16" max="16" width="2.1640625" customWidth="1"/>
  </cols>
  <sheetData>
    <row r="1" spans="2:18" ht="16">
      <c r="B1" s="8"/>
    </row>
    <row r="2" spans="2:18" ht="16">
      <c r="B2" t="s">
        <v>2</v>
      </c>
      <c r="C2" s="3">
        <v>0</v>
      </c>
      <c r="D2" t="s">
        <v>0</v>
      </c>
      <c r="E2" s="3">
        <v>0.5</v>
      </c>
      <c r="H2" s="3">
        <v>5</v>
      </c>
      <c r="K2" s="3">
        <v>1</v>
      </c>
      <c r="N2" s="3">
        <v>2</v>
      </c>
      <c r="Q2" s="3">
        <v>2</v>
      </c>
    </row>
    <row r="3" spans="2:18" ht="16">
      <c r="B3" t="s">
        <v>3</v>
      </c>
      <c r="C3" s="3">
        <v>2.5000000000000001E-2</v>
      </c>
      <c r="D3" t="s">
        <v>1</v>
      </c>
      <c r="E3" s="3">
        <v>0.5</v>
      </c>
      <c r="H3" s="3">
        <v>1</v>
      </c>
      <c r="K3" s="3">
        <v>3</v>
      </c>
      <c r="N3" s="3">
        <v>2</v>
      </c>
      <c r="Q3" s="3">
        <v>5</v>
      </c>
    </row>
    <row r="4" spans="2:18">
      <c r="B4" s="1"/>
      <c r="C4" s="1"/>
      <c r="E4" s="1" t="str">
        <f>"B(a="&amp;E2&amp;";b="&amp;E3&amp;")-PDF"</f>
        <v>B(a=0.5;b=0.5)-PDF</v>
      </c>
      <c r="F4" s="1" t="str">
        <f>"B(a="&amp;E2&amp;";b="&amp;E3&amp;")-CDF"</f>
        <v>B(a=0.5;b=0.5)-CDF</v>
      </c>
      <c r="H4" s="1" t="str">
        <f>"B(a="&amp;H2&amp;";b="&amp;H3&amp;")-PDF"</f>
        <v>B(a=5;b=1)-PDF</v>
      </c>
      <c r="I4" s="1" t="str">
        <f>"B(a="&amp;H2&amp;";b="&amp;H3&amp;")-CDF"</f>
        <v>B(a=5;b=1)-CDF</v>
      </c>
      <c r="K4" s="1" t="str">
        <f>"B(a="&amp;K2&amp;";b="&amp;K3&amp;")-PDF"</f>
        <v>B(a=1;b=3)-PDF</v>
      </c>
      <c r="L4" s="1" t="str">
        <f>"B(a="&amp;K2&amp;";b="&amp;K3&amp;")-CDF"</f>
        <v>B(a=1;b=3)-CDF</v>
      </c>
      <c r="N4" s="1" t="str">
        <f>"B(a="&amp;N2&amp;";b="&amp;N3&amp;")-PDF"</f>
        <v>B(a=2;b=2)-PDF</v>
      </c>
      <c r="O4" s="1" t="str">
        <f>"B(a="&amp;N2&amp;";b="&amp;N3&amp;")-CDF"</f>
        <v>B(a=2;b=2)-CDF</v>
      </c>
      <c r="Q4" s="1" t="str">
        <f>"B(a="&amp;Q2&amp;";b="&amp;Q3&amp;")-PDF"</f>
        <v>B(a=2;b=5)-PDF</v>
      </c>
      <c r="R4" s="1" t="str">
        <f>"B(a="&amp;Q2&amp;";b="&amp;Q3&amp;")-CDF"</f>
        <v>B(a=2;b=5)-CDF</v>
      </c>
    </row>
    <row r="5" spans="2:18">
      <c r="B5">
        <v>1</v>
      </c>
      <c r="C5" s="4">
        <f>C2</f>
        <v>0</v>
      </c>
      <c r="E5" s="6" t="e">
        <f>_xlfn.BETA.DIST($C5,E$2,E$3,0)</f>
        <v>#NUM!</v>
      </c>
      <c r="F5" s="6">
        <f>_xlfn.BETA.DIST($C5,E$2,E$3,1)</f>
        <v>0</v>
      </c>
      <c r="G5" s="6"/>
      <c r="H5" s="6">
        <f>_xlfn.BETA.DIST($C5,H$2,H$3,0)</f>
        <v>0</v>
      </c>
      <c r="I5" s="6">
        <f>_xlfn.BETA.DIST($C5,H$2,H$3,1)</f>
        <v>0</v>
      </c>
      <c r="J5" s="6"/>
      <c r="K5" s="6" t="e">
        <f>_xlfn.BETA.DIST($C5,K$2,K$3,0)</f>
        <v>#NUM!</v>
      </c>
      <c r="L5" s="6">
        <f>_xlfn.BETA.DIST($C5,K$2,K$3,1)</f>
        <v>0</v>
      </c>
      <c r="M5" s="6"/>
      <c r="N5" s="6">
        <f>_xlfn.BETA.DIST($C5,N$2,N$3,0)</f>
        <v>0</v>
      </c>
      <c r="O5" s="6">
        <f>_xlfn.BETA.DIST($C5,N$2,N$3,1)</f>
        <v>0</v>
      </c>
      <c r="P5" s="6"/>
      <c r="Q5" s="6">
        <f>_xlfn.BETA.DIST($C5,Q$2,Q$3,0)</f>
        <v>0</v>
      </c>
      <c r="R5" s="6">
        <f>_xlfn.BETA.DIST($C5,Q$2,Q$3,1)</f>
        <v>0</v>
      </c>
    </row>
    <row r="6" spans="2:18">
      <c r="B6">
        <f t="shared" ref="B6:B14" si="0">B5+1</f>
        <v>2</v>
      </c>
      <c r="C6" s="4">
        <f>C5+0.001</f>
        <v>1E-3</v>
      </c>
      <c r="E6" s="6">
        <f t="shared" ref="E6:E14" si="1">_xlfn.BETA.DIST($C6,E$2,E$3,0)</f>
        <v>10.070879119947094</v>
      </c>
      <c r="F6" s="6">
        <f t="shared" ref="F6:F14" si="2">_xlfn.BETA.DIST($C6,E$2,E$3,1)</f>
        <v>2.0135041633377492E-2</v>
      </c>
      <c r="G6" s="6"/>
      <c r="H6" s="6">
        <f t="shared" ref="H6:H14" si="3">_xlfn.BETA.DIST($C6,H$2,H$3,0)</f>
        <v>5.0000000000000045E-12</v>
      </c>
      <c r="I6" s="6">
        <f t="shared" ref="I6:I14" si="4">_xlfn.BETA.DIST($C6,H$2,H$3,1)</f>
        <v>1.0000000000000013E-15</v>
      </c>
      <c r="J6" s="6"/>
      <c r="K6" s="6">
        <f t="shared" ref="K6:K14" si="5">_xlfn.BETA.DIST($C6,K$2,K$3,0)</f>
        <v>2.9940030000000002</v>
      </c>
      <c r="L6" s="6">
        <f t="shared" ref="L6:L14" si="6">_xlfn.BETA.DIST($C6,K$2,K$3,1)</f>
        <v>2.9970009999999996E-3</v>
      </c>
      <c r="M6" s="6"/>
      <c r="N6" s="6">
        <f t="shared" ref="N6:N14" si="7">_xlfn.BETA.DIST($C6,N$2,N$3,0)</f>
        <v>5.9940000000000019E-3</v>
      </c>
      <c r="O6" s="6">
        <f t="shared" ref="O6:O14" si="8">_xlfn.BETA.DIST($C6,N$2,N$3,1)</f>
        <v>2.9980000000000012E-6</v>
      </c>
      <c r="P6" s="6"/>
      <c r="Q6" s="6">
        <f t="shared" ref="Q6:Q14" si="9">_xlfn.BETA.DIST($C6,Q$2,Q$3,0)</f>
        <v>2.9880179880029976E-2</v>
      </c>
      <c r="R6" s="6">
        <f t="shared" ref="R6:R14" si="10">_xlfn.BETA.DIST($C6,Q$2,Q$3,1)</f>
        <v>1.4960044976005007E-5</v>
      </c>
    </row>
    <row r="7" spans="2:18">
      <c r="B7">
        <f t="shared" si="0"/>
        <v>3</v>
      </c>
      <c r="C7" s="4">
        <f t="shared" ref="C7:C15" si="11">C6+0.001</f>
        <v>2E-3</v>
      </c>
      <c r="E7" s="6">
        <f t="shared" si="1"/>
        <v>7.1247537538693519</v>
      </c>
      <c r="F7" s="6">
        <f t="shared" si="2"/>
        <v>2.8480000455265064E-2</v>
      </c>
      <c r="G7" s="6"/>
      <c r="H7" s="6">
        <f t="shared" si="3"/>
        <v>8.0000000000000099E-11</v>
      </c>
      <c r="I7" s="6">
        <f t="shared" si="4"/>
        <v>3.200000000000011E-14</v>
      </c>
      <c r="J7" s="6"/>
      <c r="K7" s="6">
        <f t="shared" si="5"/>
        <v>2.9880120000000003</v>
      </c>
      <c r="L7" s="6">
        <f t="shared" si="6"/>
        <v>5.9880080000000013E-3</v>
      </c>
      <c r="M7" s="6"/>
      <c r="N7" s="6">
        <f t="shared" si="7"/>
        <v>1.1976000000000014E-2</v>
      </c>
      <c r="O7" s="6">
        <f t="shared" si="8"/>
        <v>1.1984000000000008E-5</v>
      </c>
      <c r="P7" s="6"/>
      <c r="Q7" s="6">
        <f t="shared" si="9"/>
        <v>5.9521438080959999E-2</v>
      </c>
      <c r="R7" s="6">
        <f t="shared" si="10"/>
        <v>5.9680719232320048E-5</v>
      </c>
    </row>
    <row r="8" spans="2:18">
      <c r="B8">
        <f t="shared" si="0"/>
        <v>4</v>
      </c>
      <c r="C8" s="4">
        <f t="shared" si="11"/>
        <v>3.0000000000000001E-3</v>
      </c>
      <c r="E8" s="6">
        <f t="shared" si="1"/>
        <v>5.8202537696055048</v>
      </c>
      <c r="F8" s="6">
        <f t="shared" si="2"/>
        <v>3.4886559117205694E-2</v>
      </c>
      <c r="G8" s="6"/>
      <c r="H8" s="6">
        <f t="shared" si="3"/>
        <v>4.0499999999999938E-10</v>
      </c>
      <c r="I8" s="6">
        <f t="shared" si="4"/>
        <v>2.4299999999999917E-13</v>
      </c>
      <c r="J8" s="6"/>
      <c r="K8" s="6">
        <f t="shared" si="5"/>
        <v>2.9820270000000004</v>
      </c>
      <c r="L8" s="6">
        <f t="shared" si="6"/>
        <v>8.9730269999999997E-3</v>
      </c>
      <c r="M8" s="6"/>
      <c r="N8" s="6">
        <f t="shared" si="7"/>
        <v>1.7946000000000004E-2</v>
      </c>
      <c r="O8" s="6">
        <f t="shared" si="8"/>
        <v>2.6945999999999982E-5</v>
      </c>
      <c r="P8" s="6"/>
      <c r="Q8" s="6">
        <f t="shared" si="9"/>
        <v>8.8924850287289983E-2</v>
      </c>
      <c r="R8" s="6">
        <f t="shared" si="10"/>
        <v>1.339236391716449E-4</v>
      </c>
    </row>
    <row r="9" spans="2:18">
      <c r="B9">
        <f t="shared" si="0"/>
        <v>5</v>
      </c>
      <c r="C9" s="4">
        <f t="shared" si="11"/>
        <v>4.0000000000000001E-3</v>
      </c>
      <c r="E9" s="6">
        <f t="shared" si="1"/>
        <v>5.0430173514088636</v>
      </c>
      <c r="F9" s="6">
        <f t="shared" si="2"/>
        <v>4.0290260361441253E-2</v>
      </c>
      <c r="G9" s="6"/>
      <c r="H9" s="6">
        <f t="shared" si="3"/>
        <v>1.280000000000002E-9</v>
      </c>
      <c r="I9" s="6">
        <f t="shared" si="4"/>
        <v>1.0240000000000021E-12</v>
      </c>
      <c r="J9" s="6"/>
      <c r="K9" s="6">
        <f t="shared" si="5"/>
        <v>2.976048</v>
      </c>
      <c r="L9" s="6">
        <f t="shared" si="6"/>
        <v>1.1952064E-2</v>
      </c>
      <c r="M9" s="6"/>
      <c r="N9" s="6">
        <f t="shared" si="7"/>
        <v>2.3903999999999981E-2</v>
      </c>
      <c r="O9" s="6">
        <f t="shared" si="8"/>
        <v>4.7872000000000032E-5</v>
      </c>
      <c r="P9" s="6"/>
      <c r="Q9" s="6">
        <f t="shared" si="9"/>
        <v>0.11809148931072003</v>
      </c>
      <c r="R9" s="6">
        <f t="shared" si="10"/>
        <v>2.3745149544448022E-4</v>
      </c>
    </row>
    <row r="10" spans="2:18">
      <c r="B10">
        <f t="shared" si="0"/>
        <v>6</v>
      </c>
      <c r="C10" s="4">
        <f t="shared" si="11"/>
        <v>5.0000000000000001E-3</v>
      </c>
      <c r="E10" s="6">
        <f t="shared" si="1"/>
        <v>4.5128779136806356</v>
      </c>
      <c r="F10" s="6">
        <f t="shared" si="2"/>
        <v>4.5053413644412107E-2</v>
      </c>
      <c r="G10" s="6"/>
      <c r="H10" s="6">
        <f t="shared" si="3"/>
        <v>3.1250000000000044E-9</v>
      </c>
      <c r="I10" s="6">
        <f t="shared" si="4"/>
        <v>3.1250000000000029E-12</v>
      </c>
      <c r="J10" s="6"/>
      <c r="K10" s="6">
        <f t="shared" si="5"/>
        <v>2.9700750000000005</v>
      </c>
      <c r="L10" s="6">
        <f t="shared" si="6"/>
        <v>1.4925124999999999E-2</v>
      </c>
      <c r="M10" s="6"/>
      <c r="N10" s="6">
        <f t="shared" si="7"/>
        <v>2.9849999999999977E-2</v>
      </c>
      <c r="O10" s="6">
        <f t="shared" si="8"/>
        <v>7.4750000000000055E-5</v>
      </c>
      <c r="P10" s="6"/>
      <c r="Q10" s="6">
        <f t="shared" si="9"/>
        <v>0.14702242509375005</v>
      </c>
      <c r="R10" s="6">
        <f t="shared" si="10"/>
        <v>3.7002805007812535E-4</v>
      </c>
    </row>
    <row r="11" spans="2:18">
      <c r="B11">
        <f t="shared" si="0"/>
        <v>7</v>
      </c>
      <c r="C11" s="4">
        <f t="shared" si="11"/>
        <v>6.0000000000000001E-3</v>
      </c>
      <c r="E11" s="6">
        <f t="shared" si="1"/>
        <v>4.1217468045373575</v>
      </c>
      <c r="F11" s="6">
        <f t="shared" si="2"/>
        <v>4.9361801501267122E-2</v>
      </c>
      <c r="G11" s="6"/>
      <c r="H11" s="6">
        <f t="shared" si="3"/>
        <v>6.4799999999999925E-9</v>
      </c>
      <c r="I11" s="6">
        <f t="shared" si="4"/>
        <v>7.7759999999999895E-12</v>
      </c>
      <c r="J11" s="6"/>
      <c r="K11" s="6">
        <f t="shared" si="5"/>
        <v>2.964108</v>
      </c>
      <c r="L11" s="6">
        <f t="shared" si="6"/>
        <v>1.7892216000000002E-2</v>
      </c>
      <c r="M11" s="6"/>
      <c r="N11" s="6">
        <f t="shared" si="7"/>
        <v>3.5783999999999989E-2</v>
      </c>
      <c r="O11" s="6">
        <f t="shared" si="8"/>
        <v>1.0756799999999994E-4</v>
      </c>
      <c r="P11" s="6"/>
      <c r="Q11" s="6">
        <f t="shared" si="9"/>
        <v>0.1757187247132799</v>
      </c>
      <c r="R11" s="6">
        <f t="shared" si="10"/>
        <v>5.3141813360927975E-4</v>
      </c>
    </row>
    <row r="12" spans="2:18">
      <c r="B12">
        <f t="shared" si="0"/>
        <v>8</v>
      </c>
      <c r="C12" s="4">
        <f t="shared" si="11"/>
        <v>7.0000000000000001E-3</v>
      </c>
      <c r="E12" s="6">
        <f t="shared" si="1"/>
        <v>3.8179170024651179</v>
      </c>
      <c r="F12" s="6">
        <f t="shared" si="2"/>
        <v>5.3325768796888752E-2</v>
      </c>
      <c r="G12" s="6"/>
      <c r="H12" s="6">
        <f t="shared" si="3"/>
        <v>1.2005000000000017E-8</v>
      </c>
      <c r="I12" s="6">
        <f t="shared" si="4"/>
        <v>1.6807000000000063E-11</v>
      </c>
      <c r="J12" s="6"/>
      <c r="K12" s="6">
        <f t="shared" si="5"/>
        <v>2.9581470000000003</v>
      </c>
      <c r="L12" s="6">
        <f t="shared" si="6"/>
        <v>2.0853343000000003E-2</v>
      </c>
      <c r="M12" s="6"/>
      <c r="N12" s="6">
        <f t="shared" si="7"/>
        <v>4.1705999999999958E-2</v>
      </c>
      <c r="O12" s="6">
        <f t="shared" si="8"/>
        <v>1.4631400000000009E-4</v>
      </c>
      <c r="P12" s="6"/>
      <c r="Q12" s="6">
        <f t="shared" si="9"/>
        <v>0.20418145238420995</v>
      </c>
      <c r="R12" s="6">
        <f t="shared" si="10"/>
        <v>7.2138764222024561E-4</v>
      </c>
    </row>
    <row r="13" spans="2:18">
      <c r="B13">
        <f t="shared" si="0"/>
        <v>9</v>
      </c>
      <c r="C13" s="4">
        <f t="shared" si="11"/>
        <v>8.0000000000000002E-3</v>
      </c>
      <c r="E13" s="6">
        <f t="shared" si="1"/>
        <v>3.5731339528842549</v>
      </c>
      <c r="F13" s="6">
        <f t="shared" si="2"/>
        <v>5.7017199436791982E-2</v>
      </c>
      <c r="G13" s="6"/>
      <c r="H13" s="6">
        <f t="shared" si="3"/>
        <v>2.0479999999999966E-8</v>
      </c>
      <c r="I13" s="6">
        <f t="shared" si="4"/>
        <v>3.2767999999999906E-11</v>
      </c>
      <c r="J13" s="6"/>
      <c r="K13" s="6">
        <f t="shared" si="5"/>
        <v>2.9521920000000001</v>
      </c>
      <c r="L13" s="6">
        <f t="shared" si="6"/>
        <v>2.3808512E-2</v>
      </c>
      <c r="M13" s="6"/>
      <c r="N13" s="6">
        <f t="shared" si="7"/>
        <v>4.7615999999999971E-2</v>
      </c>
      <c r="O13" s="6">
        <f t="shared" si="8"/>
        <v>1.9097599999999985E-4</v>
      </c>
      <c r="P13" s="6"/>
      <c r="Q13" s="6">
        <f t="shared" si="9"/>
        <v>0.23241166946304004</v>
      </c>
      <c r="R13" s="6">
        <f t="shared" si="10"/>
        <v>9.397035348787194E-4</v>
      </c>
    </row>
    <row r="14" spans="2:18">
      <c r="B14">
        <f t="shared" si="0"/>
        <v>10</v>
      </c>
      <c r="C14" s="4">
        <f t="shared" si="11"/>
        <v>9.0000000000000011E-3</v>
      </c>
      <c r="E14" s="6">
        <f t="shared" si="1"/>
        <v>3.3704822576951843</v>
      </c>
      <c r="F14" s="6">
        <f t="shared" si="2"/>
        <v>6.0486015984783502E-2</v>
      </c>
      <c r="G14" s="6"/>
      <c r="H14" s="6">
        <f t="shared" si="3"/>
        <v>3.2804999999999988E-8</v>
      </c>
      <c r="I14" s="6">
        <f t="shared" si="4"/>
        <v>5.9048999999999945E-11</v>
      </c>
      <c r="J14" s="6"/>
      <c r="K14" s="6">
        <f t="shared" si="5"/>
        <v>2.9462429999999999</v>
      </c>
      <c r="L14" s="6">
        <f t="shared" si="6"/>
        <v>2.6757729000000001E-2</v>
      </c>
      <c r="M14" s="6"/>
      <c r="N14" s="6">
        <f t="shared" si="7"/>
        <v>5.3513999999999999E-2</v>
      </c>
      <c r="O14" s="6">
        <f t="shared" si="8"/>
        <v>2.4154199999999997E-4</v>
      </c>
      <c r="P14" s="6"/>
      <c r="Q14" s="6">
        <f t="shared" si="9"/>
        <v>0.26041043445147005</v>
      </c>
      <c r="R14" s="6">
        <f t="shared" si="10"/>
        <v>1.1861338304812051E-3</v>
      </c>
    </row>
    <row r="15" spans="2:18">
      <c r="B15">
        <f t="shared" ref="B15:B16" si="12">B14+1</f>
        <v>11</v>
      </c>
      <c r="C15" s="4">
        <f t="shared" si="11"/>
        <v>1.0000000000000002E-2</v>
      </c>
      <c r="E15" s="6">
        <f>_xlfn.BETA.DIST($C15,E$2,E$3,0)</f>
        <v>3.1991347258556542</v>
      </c>
      <c r="F15" s="6">
        <f>_xlfn.BETA.DIST($C15,E$2,E$3,1)</f>
        <v>6.3768560858519854E-2</v>
      </c>
      <c r="G15" s="6"/>
      <c r="H15" s="6">
        <f>_xlfn.BETA.DIST($C15,H$2,H$3,0)</f>
        <v>5.0000000000000084E-8</v>
      </c>
      <c r="I15" s="6">
        <f>_xlfn.BETA.DIST($C15,H$2,H$3,1)</f>
        <v>1.0000000000000031E-10</v>
      </c>
      <c r="J15" s="6"/>
      <c r="K15" s="6">
        <f>_xlfn.BETA.DIST($C15,K$2,K$3,0)</f>
        <v>2.9403000000000001</v>
      </c>
      <c r="L15" s="6">
        <f>_xlfn.BETA.DIST($C15,K$2,K$3,1)</f>
        <v>2.9701000000000009E-2</v>
      </c>
      <c r="M15" s="6"/>
      <c r="N15" s="6">
        <f>_xlfn.BETA.DIST($C15,N$2,N$3,0)</f>
        <v>5.9399999999999988E-2</v>
      </c>
      <c r="O15" s="6">
        <f>_xlfn.BETA.DIST($C15,N$2,N$3,1)</f>
        <v>2.9800000000000025E-4</v>
      </c>
      <c r="P15" s="6"/>
      <c r="Q15" s="6">
        <f>_xlfn.BETA.DIST($C15,Q$2,Q$3,0)</f>
        <v>0.28817880299999993</v>
      </c>
      <c r="R15" s="6">
        <f>_xlfn.BETA.DIST($C15,Q$2,Q$3,1)</f>
        <v>1.4604476050000016E-3</v>
      </c>
    </row>
    <row r="16" spans="2:18">
      <c r="B16" s="2">
        <f t="shared" si="12"/>
        <v>12</v>
      </c>
      <c r="C16" s="5">
        <f t="shared" ref="C16:C52" si="13">C15+C$3</f>
        <v>3.5000000000000003E-2</v>
      </c>
      <c r="D16" s="2"/>
      <c r="E16" s="7">
        <f>_xlfn.BETA.DIST($C16,E$2,E$3,0)</f>
        <v>1.7320181888291102</v>
      </c>
      <c r="F16" s="7">
        <f>_xlfn.BETA.DIST($C16,E$2,E$3,1)</f>
        <v>0.11980658341801487</v>
      </c>
      <c r="G16" s="7"/>
      <c r="H16" s="7">
        <f>_xlfn.BETA.DIST($C16,H$2,H$3,0)</f>
        <v>7.5031250000000011E-6</v>
      </c>
      <c r="I16" s="7">
        <f>_xlfn.BETA.DIST($C16,H$2,H$3,1)</f>
        <v>5.2521874999999995E-8</v>
      </c>
      <c r="J16" s="7"/>
      <c r="K16" s="7">
        <f>_xlfn.BETA.DIST($C16,K$2,K$3,0)</f>
        <v>2.7936749999999999</v>
      </c>
      <c r="L16" s="7">
        <f>_xlfn.BETA.DIST($C16,K$2,K$3,1)</f>
        <v>0.101367875</v>
      </c>
      <c r="M16" s="7"/>
      <c r="N16" s="7">
        <f>_xlfn.BETA.DIST($C16,N$2,N$3,0)</f>
        <v>0.20265</v>
      </c>
      <c r="O16" s="7">
        <f>_xlfn.BETA.DIST($C16,N$2,N$3,1)</f>
        <v>3.5892500000000004E-3</v>
      </c>
      <c r="P16" s="7"/>
      <c r="Q16" s="7">
        <f>_xlfn.BETA.DIST($C16,Q$2,Q$3,0)</f>
        <v>0.91053900065625004</v>
      </c>
      <c r="R16" s="7">
        <f>_xlfn.BETA.DIST($C16,Q$2,Q$3,1)</f>
        <v>1.672627679132813E-2</v>
      </c>
    </row>
    <row r="17" spans="2:18">
      <c r="B17">
        <f t="shared" ref="B17:B66" si="14">B16+1</f>
        <v>13</v>
      </c>
      <c r="C17" s="4">
        <f t="shared" si="13"/>
        <v>6.0000000000000005E-2</v>
      </c>
      <c r="E17" s="6">
        <f>_xlfn.BETA.DIST($C17,E$2,E$3,0)</f>
        <v>1.3403264107207216</v>
      </c>
      <c r="F17" s="6">
        <f>_xlfn.BETA.DIST($C17,E$2,E$3,1)</f>
        <v>0.15754242542404434</v>
      </c>
      <c r="G17" s="6"/>
      <c r="H17" s="6">
        <f>_xlfn.BETA.DIST($C17,H$2,H$3,0)</f>
        <v>6.4799999999999989E-5</v>
      </c>
      <c r="I17" s="6">
        <f>_xlfn.BETA.DIST($C17,H$2,H$3,1)</f>
        <v>7.7760000000000061E-7</v>
      </c>
      <c r="J17" s="6"/>
      <c r="K17" s="6">
        <f>_xlfn.BETA.DIST($C17,K$2,K$3,0)</f>
        <v>2.6508000000000003</v>
      </c>
      <c r="L17" s="6">
        <f>_xlfn.BETA.DIST($C17,K$2,K$3,1)</f>
        <v>0.16941600000000004</v>
      </c>
      <c r="M17" s="6"/>
      <c r="N17" s="6">
        <f>_xlfn.BETA.DIST($C17,N$2,N$3,0)</f>
        <v>0.33840000000000003</v>
      </c>
      <c r="O17" s="6">
        <f>_xlfn.BETA.DIST($C17,N$2,N$3,1)</f>
        <v>1.0367999999999999E-2</v>
      </c>
      <c r="P17" s="6"/>
      <c r="Q17" s="6">
        <f>_xlfn.BETA.DIST($C17,Q$2,Q$3,0)</f>
        <v>1.4053481280000004</v>
      </c>
      <c r="R17" s="6">
        <f>_xlfn.BETA.DIST($C17,Q$2,Q$3,1)</f>
        <v>4.592477088E-2</v>
      </c>
    </row>
    <row r="18" spans="2:18">
      <c r="B18">
        <f t="shared" si="14"/>
        <v>14</v>
      </c>
      <c r="C18" s="4">
        <f t="shared" si="13"/>
        <v>8.5000000000000006E-2</v>
      </c>
      <c r="E18" s="6">
        <f>_xlfn.BETA.DIST($C18,E$2,E$3,0)</f>
        <v>1.1413796297636101</v>
      </c>
      <c r="F18" s="6">
        <f>_xlfn.BETA.DIST($C18,E$2,E$3,1)</f>
        <v>0.18834034442703482</v>
      </c>
      <c r="G18" s="6"/>
      <c r="H18" s="6">
        <f>_xlfn.BETA.DIST($C18,H$2,H$3,0)</f>
        <v>2.6100312499999998E-4</v>
      </c>
      <c r="I18" s="6">
        <f>_xlfn.BETA.DIST($C18,H$2,H$3,1)</f>
        <v>4.4370531250000021E-6</v>
      </c>
      <c r="J18" s="6"/>
      <c r="K18" s="6">
        <f>_xlfn.BETA.DIST($C18,K$2,K$3,0)</f>
        <v>2.5116750000000003</v>
      </c>
      <c r="L18" s="6">
        <f>_xlfn.BETA.DIST($C18,K$2,K$3,1)</f>
        <v>0.23393912499999997</v>
      </c>
      <c r="M18" s="6"/>
      <c r="N18" s="6">
        <f>_xlfn.BETA.DIST($C18,N$2,N$3,0)</f>
        <v>0.46665000000000012</v>
      </c>
      <c r="O18" s="6">
        <f>_xlfn.BETA.DIST($C18,N$2,N$3,1)</f>
        <v>2.044675E-2</v>
      </c>
      <c r="P18" s="6"/>
      <c r="Q18" s="6">
        <f>_xlfn.BETA.DIST($C18,Q$2,Q$3,0)</f>
        <v>1.7874115365937502</v>
      </c>
      <c r="R18" s="6">
        <f>_xlfn.BETA.DIST($C18,Q$2,Q$3,1)</f>
        <v>8.605442459757813E-2</v>
      </c>
    </row>
    <row r="19" spans="2:18">
      <c r="B19">
        <f t="shared" si="14"/>
        <v>15</v>
      </c>
      <c r="C19" s="4">
        <f t="shared" si="13"/>
        <v>0.11000000000000001</v>
      </c>
      <c r="E19" s="6">
        <f>_xlfn.BETA.DIST($C19,E$2,E$3,0)</f>
        <v>1.0173228081785162</v>
      </c>
      <c r="F19" s="6">
        <f>_xlfn.BETA.DIST($C19,E$2,E$3,1)</f>
        <v>0.21521902554364258</v>
      </c>
      <c r="G19" s="6"/>
      <c r="H19" s="6">
        <f>_xlfn.BETA.DIST($C19,H$2,H$3,0)</f>
        <v>7.3205000000000037E-4</v>
      </c>
      <c r="I19" s="6">
        <f>_xlfn.BETA.DIST($C19,H$2,H$3,1)</f>
        <v>1.6105100000000003E-5</v>
      </c>
      <c r="J19" s="6"/>
      <c r="K19" s="6">
        <f>_xlfn.BETA.DIST($C19,K$2,K$3,0)</f>
        <v>2.3763000000000001</v>
      </c>
      <c r="L19" s="6">
        <f>_xlfn.BETA.DIST($C19,K$2,K$3,1)</f>
        <v>0.29503099999999993</v>
      </c>
      <c r="M19" s="6"/>
      <c r="N19" s="6">
        <f>_xlfn.BETA.DIST($C19,N$2,N$3,0)</f>
        <v>0.58739999999999992</v>
      </c>
      <c r="O19" s="6">
        <f>_xlfn.BETA.DIST($C19,N$2,N$3,1)</f>
        <v>3.3638000000000001E-2</v>
      </c>
      <c r="P19" s="6"/>
      <c r="Q19" s="6">
        <f>_xlfn.BETA.DIST($C19,Q$2,Q$3,0)</f>
        <v>2.0704939529999997</v>
      </c>
      <c r="R19" s="6">
        <f>_xlfn.BETA.DIST($C19,Q$2,Q$3,1)</f>
        <v>0.13447078540500004</v>
      </c>
    </row>
    <row r="20" spans="2:18">
      <c r="B20">
        <f t="shared" si="14"/>
        <v>16</v>
      </c>
      <c r="C20" s="4">
        <f t="shared" si="13"/>
        <v>0.13500000000000001</v>
      </c>
      <c r="E20" s="6">
        <f>_xlfn.BETA.DIST($C20,E$2,E$3,0)</f>
        <v>0.93148354928525845</v>
      </c>
      <c r="F20" s="6">
        <f>_xlfn.BETA.DIST($C20,E$2,E$3,1)</f>
        <v>0.23952003303277067</v>
      </c>
      <c r="G20" s="6"/>
      <c r="H20" s="6">
        <f>_xlfn.BETA.DIST($C20,H$2,H$3,0)</f>
        <v>1.6607531249999996E-3</v>
      </c>
      <c r="I20" s="6">
        <f>_xlfn.BETA.DIST($C20,H$2,H$3,1)</f>
        <v>4.4840334374999976E-5</v>
      </c>
      <c r="J20" s="6"/>
      <c r="K20" s="6">
        <f>_xlfn.BETA.DIST($C20,K$2,K$3,0)</f>
        <v>2.244675</v>
      </c>
      <c r="L20" s="6">
        <f>_xlfn.BETA.DIST($C20,K$2,K$3,1)</f>
        <v>0.35278537500000007</v>
      </c>
      <c r="M20" s="6"/>
      <c r="N20" s="6">
        <f>_xlfn.BETA.DIST($C20,N$2,N$3,0)</f>
        <v>0.70065</v>
      </c>
      <c r="O20" s="6">
        <f>_xlfn.BETA.DIST($C20,N$2,N$3,1)</f>
        <v>4.975425E-2</v>
      </c>
      <c r="P20" s="6"/>
      <c r="Q20" s="6">
        <f>_xlfn.BETA.DIST($C20,Q$2,Q$3,0)</f>
        <v>2.2673546350312499</v>
      </c>
      <c r="R20" s="6">
        <f>_xlfn.BETA.DIST($C20,Q$2,Q$3,1)</f>
        <v>0.18886087732570314</v>
      </c>
    </row>
    <row r="21" spans="2:18">
      <c r="B21" s="2">
        <f t="shared" si="14"/>
        <v>17</v>
      </c>
      <c r="C21" s="5">
        <f t="shared" si="13"/>
        <v>0.16</v>
      </c>
      <c r="D21" s="2"/>
      <c r="E21" s="7">
        <f>_xlfn.BETA.DIST($C21,E$2,E$3,0)</f>
        <v>0.86826139755357068</v>
      </c>
      <c r="F21" s="7">
        <f>_xlfn.BETA.DIST($C21,E$2,E$3,1)</f>
        <v>0.26197976086890923</v>
      </c>
      <c r="G21" s="7"/>
      <c r="H21" s="7">
        <f>_xlfn.BETA.DIST($C21,H$2,H$3,0)</f>
        <v>3.2767999999999986E-3</v>
      </c>
      <c r="I21" s="7">
        <f>_xlfn.BETA.DIST($C21,H$2,H$3,1)</f>
        <v>1.0485759999999996E-4</v>
      </c>
      <c r="J21" s="7"/>
      <c r="K21" s="7">
        <f>_xlfn.BETA.DIST($C21,K$2,K$3,0)</f>
        <v>2.1168</v>
      </c>
      <c r="L21" s="7">
        <f>_xlfn.BETA.DIST($C21,K$2,K$3,1)</f>
        <v>0.4072960000000001</v>
      </c>
      <c r="M21" s="7"/>
      <c r="N21" s="7">
        <f>_xlfn.BETA.DIST($C21,N$2,N$3,0)</f>
        <v>0.80640000000000012</v>
      </c>
      <c r="O21" s="7">
        <f>_xlfn.BETA.DIST($C21,N$2,N$3,1)</f>
        <v>6.8607999999999975E-2</v>
      </c>
      <c r="P21" s="7"/>
      <c r="Q21" s="7">
        <f>_xlfn.BETA.DIST($C21,Q$2,Q$3,0)</f>
        <v>2.389782528</v>
      </c>
      <c r="R21" s="7">
        <f>_xlfn.BETA.DIST($C21,Q$2,Q$3,1)</f>
        <v>0.24721850367999995</v>
      </c>
    </row>
    <row r="22" spans="2:18">
      <c r="B22">
        <f t="shared" si="14"/>
        <v>18</v>
      </c>
      <c r="C22" s="4">
        <f t="shared" si="13"/>
        <v>0.185</v>
      </c>
      <c r="E22" s="6">
        <f>_xlfn.BETA.DIST($C22,E$2,E$3,0)</f>
        <v>0.81975761324257379</v>
      </c>
      <c r="F22" s="6">
        <f>_xlfn.BETA.DIST($C22,E$2,E$3,1)</f>
        <v>0.28305487479914726</v>
      </c>
      <c r="G22" s="6"/>
      <c r="H22" s="6">
        <f>_xlfn.BETA.DIST($C22,H$2,H$3,0)</f>
        <v>5.8567531250000009E-3</v>
      </c>
      <c r="I22" s="6">
        <f>_xlfn.BETA.DIST($C22,H$2,H$3,1)</f>
        <v>2.16699865625E-4</v>
      </c>
      <c r="J22" s="6"/>
      <c r="K22" s="6">
        <f>_xlfn.BETA.DIST($C22,K$2,K$3,0)</f>
        <v>1.9926750000000002</v>
      </c>
      <c r="L22" s="6">
        <f>_xlfn.BETA.DIST($C22,K$2,K$3,1)</f>
        <v>0.45865662500000004</v>
      </c>
      <c r="M22" s="6"/>
      <c r="N22" s="6">
        <f>_xlfn.BETA.DIST($C22,N$2,N$3,0)</f>
        <v>0.90465000000000018</v>
      </c>
      <c r="O22" s="6">
        <f>_xlfn.BETA.DIST($C22,N$2,N$3,1)</f>
        <v>9.0011750000000001E-2</v>
      </c>
      <c r="P22" s="6"/>
      <c r="Q22" s="6">
        <f>_xlfn.BETA.DIST($C22,Q$2,Q$3,0)</f>
        <v>2.4486314209687499</v>
      </c>
      <c r="R22" s="6">
        <f>_xlfn.BETA.DIST($C22,Q$2,Q$3,1)</f>
        <v>0.30782042872570314</v>
      </c>
    </row>
    <row r="23" spans="2:18">
      <c r="B23">
        <f t="shared" si="14"/>
        <v>19</v>
      </c>
      <c r="C23" s="4">
        <f t="shared" si="13"/>
        <v>0.21</v>
      </c>
      <c r="E23" s="6">
        <f>_xlfn.BETA.DIST($C23,E$2,E$3,0)</f>
        <v>0.78149631458291424</v>
      </c>
      <c r="F23" s="6">
        <f>_xlfn.BETA.DIST($C23,E$2,E$3,1)</f>
        <v>0.30305254089346995</v>
      </c>
      <c r="G23" s="6"/>
      <c r="H23" s="6">
        <f>_xlfn.BETA.DIST($C23,H$2,H$3,0)</f>
        <v>9.7240500000000014E-3</v>
      </c>
      <c r="I23" s="6">
        <f>_xlfn.BETA.DIST($C23,H$2,H$3,1)</f>
        <v>4.0841010000000004E-4</v>
      </c>
      <c r="J23" s="6"/>
      <c r="K23" s="6">
        <f>_xlfn.BETA.DIST($C23,K$2,K$3,0)</f>
        <v>1.8723000000000003</v>
      </c>
      <c r="L23" s="6">
        <f>_xlfn.BETA.DIST($C23,K$2,K$3,1)</f>
        <v>0.50696099999999999</v>
      </c>
      <c r="M23" s="6"/>
      <c r="N23" s="6">
        <f>_xlfn.BETA.DIST($C23,N$2,N$3,0)</f>
        <v>0.99540000000000017</v>
      </c>
      <c r="O23" s="6">
        <f>_xlfn.BETA.DIST($C23,N$2,N$3,1)</f>
        <v>0.113778</v>
      </c>
      <c r="P23" s="6"/>
      <c r="Q23" s="6">
        <f>_xlfn.BETA.DIST($C23,Q$2,Q$3,0)</f>
        <v>2.453855103</v>
      </c>
      <c r="R23" s="6">
        <f>_xlfn.BETA.DIST($C23,Q$2,Q$3,1)</f>
        <v>0.3692034382049999</v>
      </c>
    </row>
    <row r="24" spans="2:18">
      <c r="B24">
        <f t="shared" si="14"/>
        <v>20</v>
      </c>
      <c r="C24" s="4">
        <f t="shared" si="13"/>
        <v>0.23499999999999999</v>
      </c>
      <c r="E24" s="6">
        <f>_xlfn.BETA.DIST($C24,E$2,E$3,0)</f>
        <v>0.75073295161158915</v>
      </c>
      <c r="F24" s="6">
        <f>_xlfn.BETA.DIST($C24,E$2,E$3,1)</f>
        <v>0.32219191762353194</v>
      </c>
      <c r="G24" s="6"/>
      <c r="H24" s="6">
        <f>_xlfn.BETA.DIST($C24,H$2,H$3,0)</f>
        <v>1.5249003124999997E-2</v>
      </c>
      <c r="I24" s="6">
        <f>_xlfn.BETA.DIST($C24,H$2,H$3,1)</f>
        <v>7.1670314687500008E-4</v>
      </c>
      <c r="J24" s="6"/>
      <c r="K24" s="6">
        <f>_xlfn.BETA.DIST($C24,K$2,K$3,0)</f>
        <v>1.7556750000000003</v>
      </c>
      <c r="L24" s="6">
        <f>_xlfn.BETA.DIST($C24,K$2,K$3,1)</f>
        <v>0.55230287499999997</v>
      </c>
      <c r="M24" s="6"/>
      <c r="N24" s="6">
        <f>_xlfn.BETA.DIST($C24,N$2,N$3,0)</f>
        <v>1.0786499999999999</v>
      </c>
      <c r="O24" s="6">
        <f>_xlfn.BETA.DIST($C24,N$2,N$3,1)</f>
        <v>0.13971924999999999</v>
      </c>
      <c r="P24" s="6"/>
      <c r="Q24" s="6">
        <f>_xlfn.BETA.DIST($C24,Q$2,Q$3,0)</f>
        <v>2.41454251940625</v>
      </c>
      <c r="R24" s="6">
        <f>_xlfn.BETA.DIST($C24,Q$2,Q$3,1)</f>
        <v>0.43014227879757816</v>
      </c>
    </row>
    <row r="25" spans="2:18">
      <c r="B25">
        <f t="shared" si="14"/>
        <v>21</v>
      </c>
      <c r="C25" s="4">
        <f t="shared" si="13"/>
        <v>0.26</v>
      </c>
      <c r="E25" s="6">
        <f>_xlfn.BETA.DIST($C25,E$2,E$3,0)</f>
        <v>0.72568407630209797</v>
      </c>
      <c r="F25" s="6">
        <f>_xlfn.BETA.DIST($C25,E$2,E$3,1)</f>
        <v>0.34063665547711713</v>
      </c>
      <c r="G25" s="6"/>
      <c r="H25" s="6">
        <f>_xlfn.BETA.DIST($C25,H$2,H$3,0)</f>
        <v>2.2848800000000009E-2</v>
      </c>
      <c r="I25" s="6">
        <f>_xlfn.BETA.DIST($C25,H$2,H$3,1)</f>
        <v>1.1881376000000006E-3</v>
      </c>
      <c r="J25" s="6"/>
      <c r="K25" s="6">
        <f>_xlfn.BETA.DIST($C25,K$2,K$3,0)</f>
        <v>1.6428000000000003</v>
      </c>
      <c r="L25" s="6">
        <f>_xlfn.BETA.DIST($C25,K$2,K$3,1)</f>
        <v>0.59477599999999997</v>
      </c>
      <c r="M25" s="6"/>
      <c r="N25" s="6">
        <f>_xlfn.BETA.DIST($C25,N$2,N$3,0)</f>
        <v>1.1544000000000001</v>
      </c>
      <c r="O25" s="6">
        <f>_xlfn.BETA.DIST($C25,N$2,N$3,1)</f>
        <v>0.16764800000000002</v>
      </c>
      <c r="P25" s="6"/>
      <c r="Q25" s="6">
        <f>_xlfn.BETA.DIST($C25,Q$2,Q$3,0)</f>
        <v>2.3389529279999999</v>
      </c>
      <c r="R25" s="6">
        <f>_xlfn.BETA.DIST($C25,Q$2,Q$3,1)</f>
        <v>0.48962847648000002</v>
      </c>
    </row>
    <row r="26" spans="2:18">
      <c r="B26" s="2">
        <f t="shared" ref="B26:B31" si="15">B25+1</f>
        <v>22</v>
      </c>
      <c r="C26" s="5">
        <f t="shared" si="13"/>
        <v>0.28500000000000003</v>
      </c>
      <c r="D26" s="2"/>
      <c r="E26" s="7">
        <f>_xlfn.BETA.DIST($C26,E$2,E$3,0)</f>
        <v>0.70513890419615699</v>
      </c>
      <c r="F26" s="7">
        <f>_xlfn.BETA.DIST($C26,E$2,E$3,1)</f>
        <v>0.35851355476404245</v>
      </c>
      <c r="G26" s="7"/>
      <c r="H26" s="7">
        <f>_xlfn.BETA.DIST($C26,H$2,H$3,0)</f>
        <v>3.2987503125000005E-2</v>
      </c>
      <c r="I26" s="7">
        <f>_xlfn.BETA.DIST($C26,H$2,H$3,1)</f>
        <v>1.8802876781250013E-3</v>
      </c>
      <c r="J26" s="7"/>
      <c r="K26" s="7">
        <f>_xlfn.BETA.DIST($C26,K$2,K$3,0)</f>
        <v>1.5336749999999999</v>
      </c>
      <c r="L26" s="7">
        <f>_xlfn.BETA.DIST($C26,K$2,K$3,1)</f>
        <v>0.63447412500000011</v>
      </c>
      <c r="M26" s="7"/>
      <c r="N26" s="7">
        <f>_xlfn.BETA.DIST($C26,N$2,N$3,0)</f>
        <v>1.22265</v>
      </c>
      <c r="O26" s="7">
        <f>_xlfn.BETA.DIST($C26,N$2,N$3,1)</f>
        <v>0.19737674999999999</v>
      </c>
      <c r="P26" s="7"/>
      <c r="Q26" s="7">
        <f>_xlfn.BETA.DIST($C26,Q$2,Q$3,0)</f>
        <v>2.2345510553437498</v>
      </c>
      <c r="R26" s="7">
        <f>_xlfn.BETA.DIST($C26,Q$2,Q$3,1)</f>
        <v>0.54685003379132813</v>
      </c>
    </row>
    <row r="27" spans="2:18">
      <c r="B27">
        <f t="shared" si="15"/>
        <v>23</v>
      </c>
      <c r="C27" s="4">
        <f t="shared" si="13"/>
        <v>0.31000000000000005</v>
      </c>
      <c r="E27" s="6">
        <f>_xlfn.BETA.DIST($C27,E$2,E$3,0)</f>
        <v>0.68824764657231607</v>
      </c>
      <c r="F27" s="6">
        <f>_xlfn.BETA.DIST($C27,E$2,E$3,1)</f>
        <v>0.375923985234415</v>
      </c>
      <c r="G27" s="6"/>
      <c r="H27" s="6">
        <f>_xlfn.BETA.DIST($C27,H$2,H$3,0)</f>
        <v>4.6176050000000045E-2</v>
      </c>
      <c r="I27" s="6">
        <f>_xlfn.BETA.DIST($C27,H$2,H$3,1)</f>
        <v>2.8629151000000045E-3</v>
      </c>
      <c r="J27" s="6"/>
      <c r="K27" s="6">
        <f>_xlfn.BETA.DIST($C27,K$2,K$3,0)</f>
        <v>1.4282999999999999</v>
      </c>
      <c r="L27" s="6">
        <f>_xlfn.BETA.DIST($C27,K$2,K$3,1)</f>
        <v>0.67149100000000006</v>
      </c>
      <c r="M27" s="6"/>
      <c r="N27" s="6">
        <f>_xlfn.BETA.DIST($C27,N$2,N$3,0)</f>
        <v>1.2834000000000001</v>
      </c>
      <c r="O27" s="6">
        <f>_xlfn.BETA.DIST($C27,N$2,N$3,1)</f>
        <v>0.22871800000000009</v>
      </c>
      <c r="P27" s="6"/>
      <c r="Q27" s="6">
        <f>_xlfn.BETA.DIST($C27,Q$2,Q$3,0)</f>
        <v>2.1080422529999994</v>
      </c>
      <c r="R27" s="6">
        <f>_xlfn.BETA.DIST($C27,Q$2,Q$3,1)</f>
        <v>0.6011720060050002</v>
      </c>
    </row>
    <row r="28" spans="2:18">
      <c r="B28">
        <f t="shared" si="15"/>
        <v>24</v>
      </c>
      <c r="C28" s="4">
        <f t="shared" si="13"/>
        <v>0.33500000000000008</v>
      </c>
      <c r="E28" s="6">
        <f>_xlfn.BETA.DIST($C28,E$2,E$3,0)</f>
        <v>0.67439897436433616</v>
      </c>
      <c r="F28" s="6">
        <f>_xlfn.BETA.DIST($C28,E$2,E$3,1)</f>
        <v>0.39295124726953473</v>
      </c>
      <c r="G28" s="6"/>
      <c r="H28" s="6">
        <f>_xlfn.BETA.DIST($C28,H$2,H$3,0)</f>
        <v>6.2972253125000058E-2</v>
      </c>
      <c r="I28" s="6">
        <f>_xlfn.BETA.DIST($C28,H$2,H$3,1)</f>
        <v>4.2191409593750045E-3</v>
      </c>
      <c r="J28" s="6"/>
      <c r="K28" s="6">
        <f>_xlfn.BETA.DIST($C28,K$2,K$3,0)</f>
        <v>1.3266749999999998</v>
      </c>
      <c r="L28" s="6">
        <f>_xlfn.BETA.DIST($C28,K$2,K$3,1)</f>
        <v>0.70592037500000004</v>
      </c>
      <c r="M28" s="6"/>
      <c r="N28" s="6">
        <f>_xlfn.BETA.DIST($C28,N$2,N$3,0)</f>
        <v>1.3366500000000003</v>
      </c>
      <c r="O28" s="6">
        <f>_xlfn.BETA.DIST($C28,N$2,N$3,1)</f>
        <v>0.26148425000000014</v>
      </c>
      <c r="P28" s="6"/>
      <c r="Q28" s="6">
        <f>_xlfn.BETA.DIST($C28,Q$2,Q$3,0)</f>
        <v>1.9654076537812493</v>
      </c>
      <c r="R28" s="6">
        <f>_xlfn.BETA.DIST($C28,Q$2,Q$3,1)</f>
        <v>0.65211795620695323</v>
      </c>
    </row>
    <row r="29" spans="2:18">
      <c r="B29">
        <f t="shared" si="15"/>
        <v>25</v>
      </c>
      <c r="C29" s="4">
        <f t="shared" si="13"/>
        <v>0.3600000000000001</v>
      </c>
      <c r="E29" s="6">
        <f>_xlfn.BETA.DIST($C29,E$2,E$3,0)</f>
        <v>0.66314559621623048</v>
      </c>
      <c r="F29" s="6">
        <f>_xlfn.BETA.DIST($C29,E$2,E$3,1)</f>
        <v>0.409665529398267</v>
      </c>
      <c r="G29" s="6"/>
      <c r="H29" s="6">
        <f>_xlfn.BETA.DIST($C29,H$2,H$3,0)</f>
        <v>8.3980800000000119E-2</v>
      </c>
      <c r="I29" s="6">
        <f>_xlfn.BETA.DIST($C29,H$2,H$3,1)</f>
        <v>6.0466176000000113E-3</v>
      </c>
      <c r="J29" s="6"/>
      <c r="K29" s="6">
        <f>_xlfn.BETA.DIST($C29,K$2,K$3,0)</f>
        <v>1.2287999999999997</v>
      </c>
      <c r="L29" s="6">
        <f>_xlfn.BETA.DIST($C29,K$2,K$3,1)</f>
        <v>0.73785600000000007</v>
      </c>
      <c r="M29" s="6"/>
      <c r="N29" s="6">
        <f>_xlfn.BETA.DIST($C29,N$2,N$3,0)</f>
        <v>1.3824000000000003</v>
      </c>
      <c r="O29" s="6">
        <f>_xlfn.BETA.DIST($C29,N$2,N$3,1)</f>
        <v>0.29548800000000014</v>
      </c>
      <c r="P29" s="6"/>
      <c r="Q29" s="6">
        <f>_xlfn.BETA.DIST($C29,Q$2,Q$3,0)</f>
        <v>1.8119393279999996</v>
      </c>
      <c r="R29" s="6">
        <f>_xlfn.BETA.DIST($C29,Q$2,Q$3,1)</f>
        <v>0.69935228928000015</v>
      </c>
    </row>
    <row r="30" spans="2:18">
      <c r="B30">
        <f t="shared" si="15"/>
        <v>26</v>
      </c>
      <c r="C30" s="4">
        <f t="shared" si="13"/>
        <v>0.38500000000000012</v>
      </c>
      <c r="E30" s="6">
        <f>_xlfn.BETA.DIST($C30,E$2,E$3,0)</f>
        <v>0.6541573187436458</v>
      </c>
      <c r="F30" s="6">
        <f>_xlfn.BETA.DIST($C30,E$2,E$3,1)</f>
        <v>0.42612737918217197</v>
      </c>
      <c r="G30" s="6"/>
      <c r="H30" s="6">
        <f>_xlfn.BETA.DIST($C30,H$2,H$3,0)</f>
        <v>0.10985325312500013</v>
      </c>
      <c r="I30" s="6">
        <f>_xlfn.BETA.DIST($C30,H$2,H$3,1)</f>
        <v>8.4587004906250124E-3</v>
      </c>
      <c r="J30" s="6"/>
      <c r="K30" s="6">
        <f>_xlfn.BETA.DIST($C30,K$2,K$3,0)</f>
        <v>1.1346749999999997</v>
      </c>
      <c r="L30" s="6">
        <f>_xlfn.BETA.DIST($C30,K$2,K$3,1)</f>
        <v>0.76739162500000013</v>
      </c>
      <c r="M30" s="6"/>
      <c r="N30" s="6">
        <f>_xlfn.BETA.DIST($C30,N$2,N$3,0)</f>
        <v>1.4206500000000002</v>
      </c>
      <c r="O30" s="6">
        <f>_xlfn.BETA.DIST($C30,N$2,N$3,1)</f>
        <v>0.33054175000000019</v>
      </c>
      <c r="P30" s="6"/>
      <c r="Q30" s="6">
        <f>_xlfn.BETA.DIST($C30,Q$2,Q$3,0)</f>
        <v>1.6522754397187487</v>
      </c>
      <c r="R30" s="6">
        <f>_xlfn.BETA.DIST($C30,Q$2,Q$3,1)</f>
        <v>0.74266346479445322</v>
      </c>
    </row>
    <row r="31" spans="2:18">
      <c r="B31" s="2">
        <f t="shared" si="15"/>
        <v>27</v>
      </c>
      <c r="C31" s="5">
        <f t="shared" si="13"/>
        <v>0.41000000000000014</v>
      </c>
      <c r="D31" s="2"/>
      <c r="E31" s="7">
        <f>_xlfn.BETA.DIST($C31,E$2,E$3,0)</f>
        <v>0.64719058853232658</v>
      </c>
      <c r="F31" s="7">
        <f>_xlfn.BETA.DIST($C31,E$2,E$3,1)</f>
        <v>0.44239022330290334</v>
      </c>
      <c r="G31" s="7"/>
      <c r="H31" s="7">
        <f>_xlfn.BETA.DIST($C31,H$2,H$3,0)</f>
        <v>0.14128805000000019</v>
      </c>
      <c r="I31" s="7">
        <f>_xlfn.BETA.DIST($C31,H$2,H$3,1)</f>
        <v>1.1585620100000025E-2</v>
      </c>
      <c r="J31" s="7"/>
      <c r="K31" s="7">
        <f>_xlfn.BETA.DIST($C31,K$2,K$3,0)</f>
        <v>1.0442999999999996</v>
      </c>
      <c r="L31" s="7">
        <f>_xlfn.BETA.DIST($C31,K$2,K$3,1)</f>
        <v>0.79462100000000024</v>
      </c>
      <c r="M31" s="7"/>
      <c r="N31" s="7">
        <f>_xlfn.BETA.DIST($C31,N$2,N$3,0)</f>
        <v>1.4514000000000002</v>
      </c>
      <c r="O31" s="7">
        <f>_xlfn.BETA.DIST($C31,N$2,N$3,1)</f>
        <v>0.36645800000000017</v>
      </c>
      <c r="P31" s="7"/>
      <c r="Q31" s="7">
        <f>_xlfn.BETA.DIST($C31,Q$2,Q$3,0)</f>
        <v>1.4904354029999991</v>
      </c>
      <c r="R31" s="7">
        <f>_xlfn.BETA.DIST($C31,Q$2,Q$3,1)</f>
        <v>0.78194808880500033</v>
      </c>
    </row>
    <row r="32" spans="2:18">
      <c r="B32">
        <f t="shared" si="14"/>
        <v>28</v>
      </c>
      <c r="C32" s="4">
        <f t="shared" si="13"/>
        <v>0.43500000000000016</v>
      </c>
      <c r="E32" s="6">
        <f>_xlfn.BETA.DIST($C32,E$2,E$3,0)</f>
        <v>0.64206836849144255</v>
      </c>
      <c r="F32" s="6">
        <f>_xlfn.BETA.DIST($C32,E$2,E$3,1)</f>
        <v>0.45850226490879498</v>
      </c>
      <c r="G32" s="6"/>
      <c r="H32" s="6">
        <f>_xlfn.BETA.DIST($C32,H$2,H$3,0)</f>
        <v>0.17903050312500024</v>
      </c>
      <c r="I32" s="6">
        <f>_xlfn.BETA.DIST($C32,H$2,H$3,1)</f>
        <v>1.5575653771875028E-2</v>
      </c>
      <c r="J32" s="6"/>
      <c r="K32" s="6">
        <f>_xlfn.BETA.DIST($C32,K$2,K$3,0)</f>
        <v>0.95767499999999961</v>
      </c>
      <c r="L32" s="6">
        <f>_xlfn.BETA.DIST($C32,K$2,K$3,1)</f>
        <v>0.81963787500000018</v>
      </c>
      <c r="M32" s="6"/>
      <c r="N32" s="6">
        <f>_xlfn.BETA.DIST($C32,N$2,N$3,0)</f>
        <v>1.4746500000000002</v>
      </c>
      <c r="O32" s="6">
        <f>_xlfn.BETA.DIST($C32,N$2,N$3,1)</f>
        <v>0.40304925000000025</v>
      </c>
      <c r="P32" s="6"/>
      <c r="Q32" s="6">
        <f>_xlfn.BETA.DIST($C32,Q$2,Q$3,0)</f>
        <v>1.3298550381562491</v>
      </c>
      <c r="R32" s="6">
        <f>_xlfn.BETA.DIST($C32,Q$2,Q$3,1)</f>
        <v>0.8171958845538283</v>
      </c>
    </row>
    <row r="33" spans="2:18">
      <c r="B33">
        <f t="shared" si="14"/>
        <v>29</v>
      </c>
      <c r="C33" s="4">
        <f t="shared" si="13"/>
        <v>0.46000000000000019</v>
      </c>
      <c r="E33" s="6">
        <f>_xlfn.BETA.DIST($C33,E$2,E$3,0)</f>
        <v>0.6386667865644956</v>
      </c>
      <c r="F33" s="6">
        <f>_xlfn.BETA.DIST($C33,E$2,E$3,1)</f>
        <v>0.47450796813452328</v>
      </c>
      <c r="G33" s="6"/>
      <c r="H33" s="6">
        <f>_xlfn.BETA.DIST($C33,H$2,H$3,0)</f>
        <v>0.22387280000000034</v>
      </c>
      <c r="I33" s="6">
        <f>_xlfn.BETA.DIST($C33,H$2,H$3,1)</f>
        <v>2.0596297600000046E-2</v>
      </c>
      <c r="J33" s="6"/>
      <c r="K33" s="6">
        <f>_xlfn.BETA.DIST($C33,K$2,K$3,0)</f>
        <v>0.87479999999999958</v>
      </c>
      <c r="L33" s="6">
        <f>_xlfn.BETA.DIST($C33,K$2,K$3,1)</f>
        <v>0.84253600000000017</v>
      </c>
      <c r="M33" s="6"/>
      <c r="N33" s="6">
        <f>_xlfn.BETA.DIST($C33,N$2,N$3,0)</f>
        <v>1.4904000000000002</v>
      </c>
      <c r="O33" s="6">
        <f>_xlfn.BETA.DIST($C33,N$2,N$3,1)</f>
        <v>0.4401280000000003</v>
      </c>
      <c r="P33" s="6"/>
      <c r="Q33" s="6">
        <f>_xlfn.BETA.DIST($C33,Q$2,Q$3,0)</f>
        <v>1.173421727999999</v>
      </c>
      <c r="R33" s="6">
        <f>_xlfn.BETA.DIST($C33,Q$2,Q$3,1)</f>
        <v>0.8484755420800002</v>
      </c>
    </row>
    <row r="34" spans="2:18">
      <c r="B34">
        <f t="shared" si="14"/>
        <v>30</v>
      </c>
      <c r="C34" s="4">
        <f t="shared" si="13"/>
        <v>0.48500000000000021</v>
      </c>
      <c r="E34" s="6">
        <f>_xlfn.BETA.DIST($C34,E$2,E$3,0)</f>
        <v>0.63690644478354685</v>
      </c>
      <c r="F34" s="6">
        <f>_xlfn.BETA.DIST($C34,E$2,E$3,1)</f>
        <v>0.49044927043956787</v>
      </c>
      <c r="G34" s="6"/>
      <c r="H34" s="6">
        <f>_xlfn.BETA.DIST($C34,H$2,H$3,0)</f>
        <v>0.27665400312500049</v>
      </c>
      <c r="I34" s="6">
        <f>_xlfn.BETA.DIST($C34,H$2,H$3,1)</f>
        <v>2.6835438303125059E-2</v>
      </c>
      <c r="J34" s="6"/>
      <c r="K34" s="6">
        <f>_xlfn.BETA.DIST($C34,K$2,K$3,0)</f>
        <v>0.79567499999999936</v>
      </c>
      <c r="L34" s="6">
        <f>_xlfn.BETA.DIST($C34,K$2,K$3,1)</f>
        <v>0.86340912500000022</v>
      </c>
      <c r="M34" s="6"/>
      <c r="N34" s="6">
        <f>_xlfn.BETA.DIST($C34,N$2,N$3,0)</f>
        <v>1.4986500000000003</v>
      </c>
      <c r="O34" s="6">
        <f>_xlfn.BETA.DIST($C34,N$2,N$3,1)</f>
        <v>0.47750675000000031</v>
      </c>
      <c r="P34" s="6"/>
      <c r="Q34" s="6">
        <f>_xlfn.BETA.DIST($C34,Q$2,Q$3,0)</f>
        <v>1.0235095740937488</v>
      </c>
      <c r="R34" s="6">
        <f>_xlfn.BETA.DIST($C34,Q$2,Q$3,1)</f>
        <v>0.87592144673507843</v>
      </c>
    </row>
    <row r="35" spans="2:18">
      <c r="B35">
        <f t="shared" si="14"/>
        <v>31</v>
      </c>
      <c r="C35" s="4">
        <f t="shared" si="13"/>
        <v>0.51000000000000023</v>
      </c>
      <c r="E35" s="6">
        <f>_xlfn.BETA.DIST($C35,E$2,E$3,0)</f>
        <v>0.63674713453197807</v>
      </c>
      <c r="F35" s="6">
        <f>_xlfn.BETA.DIST($C35,E$2,E$3,1)</f>
        <v>0.50636662221327011</v>
      </c>
      <c r="G35" s="6"/>
      <c r="H35" s="6">
        <f>_xlfn.BETA.DIST($C35,H$2,H$3,0)</f>
        <v>0.33826005000000053</v>
      </c>
      <c r="I35" s="6">
        <f>_xlfn.BETA.DIST($C35,H$2,H$3,1)</f>
        <v>3.450252510000007E-2</v>
      </c>
      <c r="J35" s="6"/>
      <c r="K35" s="6">
        <f>_xlfn.BETA.DIST($C35,K$2,K$3,0)</f>
        <v>0.72029999999999939</v>
      </c>
      <c r="L35" s="6">
        <f>_xlfn.BETA.DIST($C35,K$2,K$3,1)</f>
        <v>0.88235100000000011</v>
      </c>
      <c r="M35" s="6"/>
      <c r="N35" s="6">
        <f>_xlfn.BETA.DIST($C35,N$2,N$3,0)</f>
        <v>1.4994000000000001</v>
      </c>
      <c r="O35" s="6">
        <f>_xlfn.BETA.DIST($C35,N$2,N$3,1)</f>
        <v>0.5149980000000004</v>
      </c>
      <c r="P35" s="6"/>
      <c r="Q35" s="6">
        <f>_xlfn.BETA.DIST($C35,Q$2,Q$3,0)</f>
        <v>0.88201455299999909</v>
      </c>
      <c r="R35" s="6">
        <f>_xlfn.BETA.DIST($C35,Q$2,Q$3,1)</f>
        <v>0.89972128660500017</v>
      </c>
    </row>
    <row r="36" spans="2:18">
      <c r="B36" s="2">
        <f t="shared" ref="B36:B41" si="16">B35+1</f>
        <v>32</v>
      </c>
      <c r="C36" s="5">
        <f t="shared" si="13"/>
        <v>0.53500000000000025</v>
      </c>
      <c r="D36" s="2"/>
      <c r="E36" s="7">
        <f>_xlfn.BETA.DIST($C36,E$2,E$3,0)</f>
        <v>0.63818524628147799</v>
      </c>
      <c r="F36" s="7">
        <f>_xlfn.BETA.DIST($C36,E$2,E$3,1)</f>
        <v>0.52229992898920197</v>
      </c>
      <c r="G36" s="7"/>
      <c r="H36" s="7">
        <f>_xlfn.BETA.DIST($C36,H$2,H$3,0)</f>
        <v>0.40962375312500082</v>
      </c>
      <c r="I36" s="7">
        <f>_xlfn.BETA.DIST($C36,H$2,H$3,1)</f>
        <v>4.3829741584375109E-2</v>
      </c>
      <c r="J36" s="7"/>
      <c r="K36" s="7">
        <f>_xlfn.BETA.DIST($C36,K$2,K$3,0)</f>
        <v>0.64867499999999934</v>
      </c>
      <c r="L36" s="7">
        <f>_xlfn.BETA.DIST($C36,K$2,K$3,1)</f>
        <v>0.89945537500000017</v>
      </c>
      <c r="M36" s="7"/>
      <c r="N36" s="7">
        <f>_xlfn.BETA.DIST($C36,N$2,N$3,0)</f>
        <v>1.49265</v>
      </c>
      <c r="O36" s="7">
        <f>_xlfn.BETA.DIST($C36,N$2,N$3,1)</f>
        <v>0.55241425000000033</v>
      </c>
      <c r="P36" s="7"/>
      <c r="Q36" s="7">
        <f>_xlfn.BETA.DIST($C36,Q$2,Q$3,0)</f>
        <v>0.75038967253124866</v>
      </c>
      <c r="R36" s="7">
        <f>_xlfn.BETA.DIST($C36,Q$2,Q$3,1)</f>
        <v>0.92010453883820331</v>
      </c>
    </row>
    <row r="37" spans="2:18">
      <c r="B37">
        <f t="shared" si="16"/>
        <v>33</v>
      </c>
      <c r="C37" s="4">
        <f t="shared" si="13"/>
        <v>0.56000000000000028</v>
      </c>
      <c r="E37" s="6">
        <f>_xlfn.BETA.DIST($C37,E$2,E$3,0)</f>
        <v>0.64125353990800915</v>
      </c>
      <c r="F37" s="6">
        <f>_xlfn.BETA.DIST($C37,E$2,E$3,1)</f>
        <v>0.5382894587741468</v>
      </c>
      <c r="G37" s="6"/>
      <c r="H37" s="6">
        <f>_xlfn.BETA.DIST($C37,H$2,H$3,0)</f>
        <v>0.49172480000000102</v>
      </c>
      <c r="I37" s="6">
        <f>_xlfn.BETA.DIST($C37,H$2,H$3,1)</f>
        <v>5.5073177600000141E-2</v>
      </c>
      <c r="J37" s="6"/>
      <c r="K37" s="6">
        <f>_xlfn.BETA.DIST($C37,K$2,K$3,0)</f>
        <v>0.58079999999999943</v>
      </c>
      <c r="L37" s="6">
        <f>_xlfn.BETA.DIST($C37,K$2,K$3,1)</f>
        <v>0.91481600000000007</v>
      </c>
      <c r="M37" s="6"/>
      <c r="N37" s="6">
        <f>_xlfn.BETA.DIST($C37,N$2,N$3,0)</f>
        <v>1.4783999999999999</v>
      </c>
      <c r="O37" s="6">
        <f>_xlfn.BETA.DIST($C37,N$2,N$3,1)</f>
        <v>0.58956800000000031</v>
      </c>
      <c r="P37" s="6"/>
      <c r="Q37" s="6">
        <f>_xlfn.BETA.DIST($C37,Q$2,Q$3,0)</f>
        <v>0.62968012799999851</v>
      </c>
      <c r="R37" s="6">
        <f>_xlfn.BETA.DIST($C37,Q$2,Q$3,1)</f>
        <v>0.93733183488000016</v>
      </c>
    </row>
    <row r="38" spans="2:18">
      <c r="B38">
        <f t="shared" si="16"/>
        <v>34</v>
      </c>
      <c r="C38" s="4">
        <f t="shared" si="13"/>
        <v>0.5850000000000003</v>
      </c>
      <c r="E38" s="6">
        <f>_xlfn.BETA.DIST($C38,E$2,E$3,0)</f>
        <v>0.64602324647049758</v>
      </c>
      <c r="F38" s="6">
        <f>_xlfn.BETA.DIST($C38,E$2,E$3,1)</f>
        <v>0.55437677253730011</v>
      </c>
      <c r="G38" s="6"/>
      <c r="H38" s="6">
        <f>_xlfn.BETA.DIST($C38,H$2,H$3,0)</f>
        <v>0.58558975312500128</v>
      </c>
      <c r="I38" s="6">
        <f>_xlfn.BETA.DIST($C38,H$2,H$3,1)</f>
        <v>6.8514001115625195E-2</v>
      </c>
      <c r="J38" s="6"/>
      <c r="K38" s="6">
        <f>_xlfn.BETA.DIST($C38,K$2,K$3,0)</f>
        <v>0.51667499999999933</v>
      </c>
      <c r="L38" s="6">
        <f>_xlfn.BETA.DIST($C38,K$2,K$3,1)</f>
        <v>0.92852662500000016</v>
      </c>
      <c r="M38" s="6"/>
      <c r="N38" s="6">
        <f>_xlfn.BETA.DIST($C38,N$2,N$3,0)</f>
        <v>1.4566499999999998</v>
      </c>
      <c r="O38" s="6">
        <f>_xlfn.BETA.DIST($C38,N$2,N$3,1)</f>
        <v>0.62627175000000046</v>
      </c>
      <c r="P38" s="6"/>
      <c r="Q38" s="6">
        <f>_xlfn.BETA.DIST($C38,Q$2,Q$3,0)</f>
        <v>0.5205584584687486</v>
      </c>
      <c r="R38" s="6">
        <f>_xlfn.BETA.DIST($C38,Q$2,Q$3,1)</f>
        <v>0.95168520461320327</v>
      </c>
    </row>
    <row r="39" spans="2:18">
      <c r="B39">
        <f t="shared" si="16"/>
        <v>35</v>
      </c>
      <c r="C39" s="4">
        <f t="shared" si="13"/>
        <v>0.61000000000000032</v>
      </c>
      <c r="E39" s="6">
        <f>_xlfn.BETA.DIST($C39,E$2,E$3,0)</f>
        <v>0.65260877087902969</v>
      </c>
      <c r="F39" s="6">
        <f>_xlfn.BETA.DIST($C39,E$2,E$3,1)</f>
        <v>0.57060573885775268</v>
      </c>
      <c r="G39" s="6"/>
      <c r="H39" s="6">
        <f>_xlfn.BETA.DIST($C39,H$2,H$3,0)</f>
        <v>0.69229205000000138</v>
      </c>
      <c r="I39" s="6">
        <f>_xlfn.BETA.DIST($C39,H$2,H$3,1)</f>
        <v>8.4459630100000196E-2</v>
      </c>
      <c r="J39" s="6"/>
      <c r="K39" s="6">
        <f>_xlfn.BETA.DIST($C39,K$2,K$3,0)</f>
        <v>0.45629999999999932</v>
      </c>
      <c r="L39" s="6">
        <f>_xlfn.BETA.DIST($C39,K$2,K$3,1)</f>
        <v>0.9406810000000001</v>
      </c>
      <c r="M39" s="6"/>
      <c r="N39" s="6">
        <f>_xlfn.BETA.DIST($C39,N$2,N$3,0)</f>
        <v>1.4273999999999996</v>
      </c>
      <c r="O39" s="6">
        <f>_xlfn.BETA.DIST($C39,N$2,N$3,1)</f>
        <v>0.66233800000000054</v>
      </c>
      <c r="P39" s="6"/>
      <c r="Q39" s="6">
        <f>_xlfn.BETA.DIST($C39,Q$2,Q$3,0)</f>
        <v>0.42335970299999887</v>
      </c>
      <c r="R39" s="6">
        <f>_xlfn.BETA.DIST($C39,Q$2,Q$3,1)</f>
        <v>0.96345919940500013</v>
      </c>
    </row>
    <row r="40" spans="2:18">
      <c r="B40">
        <f t="shared" si="16"/>
        <v>36</v>
      </c>
      <c r="C40" s="4">
        <f t="shared" si="13"/>
        <v>0.63500000000000034</v>
      </c>
      <c r="E40" s="6">
        <f>_xlfn.BETA.DIST($C40,E$2,E$3,0)</f>
        <v>0.66117562195940216</v>
      </c>
      <c r="F40" s="6">
        <f>_xlfn.BETA.DIST($C40,E$2,E$3,1)</f>
        <v>0.5870237047298531</v>
      </c>
      <c r="G40" s="6"/>
      <c r="H40" s="6">
        <f>_xlfn.BETA.DIST($C40,H$2,H$3,0)</f>
        <v>0.8129520031250016</v>
      </c>
      <c r="I40" s="6">
        <f>_xlfn.BETA.DIST($C40,H$2,H$3,1)</f>
        <v>0.10324490439687524</v>
      </c>
      <c r="J40" s="6"/>
      <c r="K40" s="6">
        <f>_xlfn.BETA.DIST($C40,K$2,K$3,0)</f>
        <v>0.39967499999999928</v>
      </c>
      <c r="L40" s="6">
        <f>_xlfn.BETA.DIST($C40,K$2,K$3,1)</f>
        <v>0.95137287500000012</v>
      </c>
      <c r="M40" s="6"/>
      <c r="N40" s="6">
        <f>_xlfn.BETA.DIST($C40,N$2,N$3,0)</f>
        <v>1.3906499999999995</v>
      </c>
      <c r="O40" s="6">
        <f>_xlfn.BETA.DIST($C40,N$2,N$3,1)</f>
        <v>0.69757925000000054</v>
      </c>
      <c r="P40" s="6"/>
      <c r="Q40" s="6">
        <f>_xlfn.BETA.DIST($C40,Q$2,Q$3,0)</f>
        <v>0.33811655690624881</v>
      </c>
      <c r="R40" s="6">
        <f>_xlfn.BETA.DIST($C40,Q$2,Q$3,1)</f>
        <v>0.97295289406007823</v>
      </c>
    </row>
    <row r="41" spans="2:18">
      <c r="B41" s="2">
        <f t="shared" si="16"/>
        <v>37</v>
      </c>
      <c r="C41" s="5">
        <f t="shared" si="13"/>
        <v>0.66000000000000036</v>
      </c>
      <c r="D41" s="2"/>
      <c r="E41" s="7">
        <f>_xlfn.BETA.DIST($C41,E$2,E$3,0)</f>
        <v>0.6719526964107122</v>
      </c>
      <c r="F41" s="7">
        <f>_xlfn.BETA.DIST($C41,E$2,E$3,1)</f>
        <v>0.60368291602745838</v>
      </c>
      <c r="G41" s="7"/>
      <c r="H41" s="7">
        <f>_xlfn.BETA.DIST($C41,H$2,H$3,0)</f>
        <v>0.94873680000000193</v>
      </c>
      <c r="I41" s="7">
        <f>_xlfn.BETA.DIST($C41,H$2,H$3,1)</f>
        <v>0.12523325760000034</v>
      </c>
      <c r="J41" s="7"/>
      <c r="K41" s="7">
        <f>_xlfn.BETA.DIST($C41,K$2,K$3,0)</f>
        <v>0.34679999999999922</v>
      </c>
      <c r="L41" s="7">
        <f>_xlfn.BETA.DIST($C41,K$2,K$3,1)</f>
        <v>0.96069600000000011</v>
      </c>
      <c r="M41" s="7"/>
      <c r="N41" s="7">
        <f>_xlfn.BETA.DIST($C41,N$2,N$3,0)</f>
        <v>1.3463999999999994</v>
      </c>
      <c r="O41" s="7">
        <f>_xlfn.BETA.DIST($C41,N$2,N$3,1)</f>
        <v>0.73180800000000057</v>
      </c>
      <c r="P41" s="7"/>
      <c r="Q41" s="7">
        <f>_xlfn.BETA.DIST($C41,Q$2,Q$3,0)</f>
        <v>0.264594527999999</v>
      </c>
      <c r="R41" s="7">
        <f>_xlfn.BETA.DIST($C41,Q$2,Q$3,1)</f>
        <v>0.98046276768000018</v>
      </c>
    </row>
    <row r="42" spans="2:18">
      <c r="B42">
        <f t="shared" si="14"/>
        <v>38</v>
      </c>
      <c r="C42" s="4">
        <f t="shared" si="13"/>
        <v>0.68500000000000039</v>
      </c>
      <c r="E42" s="6">
        <f>_xlfn.BETA.DIST($C42,E$2,E$3,0)</f>
        <v>0.6852508211959033</v>
      </c>
      <c r="F42" s="6">
        <f>_xlfn.BETA.DIST($C42,E$2,E$3,1)</f>
        <v>0.62064231824035843</v>
      </c>
      <c r="G42" s="6"/>
      <c r="H42" s="6">
        <f>_xlfn.BETA.DIST($C42,H$2,H$3,0)</f>
        <v>1.1008605031250025</v>
      </c>
      <c r="I42" s="6">
        <f>_xlfn.BETA.DIST($C42,H$2,H$3,1)</f>
        <v>0.15081788892812542</v>
      </c>
      <c r="J42" s="6"/>
      <c r="K42" s="6">
        <f>_xlfn.BETA.DIST($C42,K$2,K$3,0)</f>
        <v>0.29767499999999925</v>
      </c>
      <c r="L42" s="6">
        <f>_xlfn.BETA.DIST($C42,K$2,K$3,1)</f>
        <v>0.96874412500000018</v>
      </c>
      <c r="M42" s="6"/>
      <c r="N42" s="6">
        <f>_xlfn.BETA.DIST($C42,N$2,N$3,0)</f>
        <v>1.2946499999999992</v>
      </c>
      <c r="O42" s="6">
        <f>_xlfn.BETA.DIST($C42,N$2,N$3,1)</f>
        <v>0.76483675000000062</v>
      </c>
      <c r="P42" s="6"/>
      <c r="Q42" s="6">
        <f>_xlfn.BETA.DIST($C42,Q$2,Q$3,0)</f>
        <v>0.20232709284374903</v>
      </c>
      <c r="R42" s="6">
        <f>_xlfn.BETA.DIST($C42,Q$2,Q$3,1)</f>
        <v>0.98627646342882813</v>
      </c>
    </row>
    <row r="43" spans="2:18">
      <c r="B43">
        <f t="shared" si="14"/>
        <v>39</v>
      </c>
      <c r="C43" s="4">
        <f t="shared" si="13"/>
        <v>0.71000000000000041</v>
      </c>
      <c r="E43" s="6">
        <f>_xlfn.BETA.DIST($C43,E$2,E$3,0)</f>
        <v>0.70149075854506271</v>
      </c>
      <c r="F43" s="6">
        <f>_xlfn.BETA.DIST($C43,E$2,E$3,1)</f>
        <v>0.63796993049834261</v>
      </c>
      <c r="G43" s="6"/>
      <c r="H43" s="6">
        <f>_xlfn.BETA.DIST($C43,H$2,H$3,0)</f>
        <v>1.270584050000003</v>
      </c>
      <c r="I43" s="6">
        <f>_xlfn.BETA.DIST($C43,H$2,H$3,1)</f>
        <v>0.18042293510000051</v>
      </c>
      <c r="J43" s="6"/>
      <c r="K43" s="6">
        <f>_xlfn.BETA.DIST($C43,K$2,K$3,0)</f>
        <v>0.2522999999999993</v>
      </c>
      <c r="L43" s="6">
        <f>_xlfn.BETA.DIST($C43,K$2,K$3,1)</f>
        <v>0.97561100000000012</v>
      </c>
      <c r="M43" s="6"/>
      <c r="N43" s="6">
        <f>_xlfn.BETA.DIST($C43,N$2,N$3,0)</f>
        <v>1.2353999999999992</v>
      </c>
      <c r="O43" s="6">
        <f>_xlfn.BETA.DIST($C43,N$2,N$3,1)</f>
        <v>0.79647800000000046</v>
      </c>
      <c r="P43" s="6"/>
      <c r="Q43" s="6">
        <f>_xlfn.BETA.DIST($C43,Q$2,Q$3,0)</f>
        <v>0.15065085299999934</v>
      </c>
      <c r="R43" s="6">
        <f>_xlfn.BETA.DIST($C43,Q$2,Q$3,1)</f>
        <v>0.99066742720500001</v>
      </c>
    </row>
    <row r="44" spans="2:18">
      <c r="B44">
        <f t="shared" si="14"/>
        <v>40</v>
      </c>
      <c r="C44" s="4">
        <f t="shared" si="13"/>
        <v>0.73500000000000043</v>
      </c>
      <c r="E44" s="6">
        <f>_xlfn.BETA.DIST($C44,E$2,E$3,0)</f>
        <v>0.72124617139376379</v>
      </c>
      <c r="F44" s="6">
        <f>_xlfn.BETA.DIST($C44,E$2,E$3,1)</f>
        <v>0.65574609186045185</v>
      </c>
      <c r="G44" s="6"/>
      <c r="H44" s="6">
        <f>_xlfn.BETA.DIST($C44,H$2,H$3,0)</f>
        <v>1.4592152531250033</v>
      </c>
      <c r="I44" s="6">
        <f>_xlfn.BETA.DIST($C44,H$2,H$3,1)</f>
        <v>0.21450464220937562</v>
      </c>
      <c r="J44" s="6"/>
      <c r="K44" s="6">
        <f>_xlfn.BETA.DIST($C44,K$2,K$3,0)</f>
        <v>0.21067499999999928</v>
      </c>
      <c r="L44" s="6">
        <f>_xlfn.BETA.DIST($C44,K$2,K$3,1)</f>
        <v>0.98139037500000015</v>
      </c>
      <c r="M44" s="6"/>
      <c r="N44" s="6">
        <f>_xlfn.BETA.DIST($C44,N$2,N$3,0)</f>
        <v>1.1686499999999989</v>
      </c>
      <c r="O44" s="6">
        <f>_xlfn.BETA.DIST($C44,N$2,N$3,1)</f>
        <v>0.82654425000000054</v>
      </c>
      <c r="P44" s="6"/>
      <c r="Q44" s="6">
        <f>_xlfn.BETA.DIST($C44,Q$2,Q$3,0)</f>
        <v>0.10874069128124936</v>
      </c>
      <c r="R44" s="6">
        <f>_xlfn.BETA.DIST($C44,Q$2,Q$3,1)</f>
        <v>0.99389042521945314</v>
      </c>
    </row>
    <row r="45" spans="2:18">
      <c r="B45">
        <f t="shared" si="14"/>
        <v>41</v>
      </c>
      <c r="C45" s="4">
        <f t="shared" si="13"/>
        <v>0.76000000000000045</v>
      </c>
      <c r="E45" s="6">
        <f>_xlfn.BETA.DIST($C45,E$2,E$3,0)</f>
        <v>0.74531130771480603</v>
      </c>
      <c r="F45" s="6">
        <f>_xlfn.BETA.DIST($C45,E$2,E$3,1)</f>
        <v>0.67406806387552398</v>
      </c>
      <c r="G45" s="6"/>
      <c r="H45" s="6">
        <f>_xlfn.BETA.DIST($C45,H$2,H$3,0)</f>
        <v>1.6681088000000039</v>
      </c>
      <c r="I45" s="6">
        <f>_xlfn.BETA.DIST($C45,H$2,H$3,1)</f>
        <v>0.25355253760000079</v>
      </c>
      <c r="J45" s="6"/>
      <c r="K45" s="6">
        <f>_xlfn.BETA.DIST($C45,K$2,K$3,0)</f>
        <v>0.17279999999999937</v>
      </c>
      <c r="L45" s="6">
        <f>_xlfn.BETA.DIST($C45,K$2,K$3,1)</f>
        <v>0.98617600000000005</v>
      </c>
      <c r="M45" s="6"/>
      <c r="N45" s="6">
        <f>_xlfn.BETA.DIST($C45,N$2,N$3,0)</f>
        <v>1.0943999999999987</v>
      </c>
      <c r="O45" s="6">
        <f>_xlfn.BETA.DIST($C45,N$2,N$3,1)</f>
        <v>0.8548480000000005</v>
      </c>
      <c r="P45" s="6"/>
      <c r="Q45" s="6">
        <f>_xlfn.BETA.DIST($C45,Q$2,Q$3,0)</f>
        <v>7.5644927999999459E-2</v>
      </c>
      <c r="R45" s="6">
        <f>_xlfn.BETA.DIST($C45,Q$2,Q$3,1)</f>
        <v>0.99617794047999997</v>
      </c>
    </row>
    <row r="46" spans="2:18">
      <c r="B46" s="2">
        <f t="shared" ref="B46:B60" si="17">B45+1</f>
        <v>42</v>
      </c>
      <c r="C46" s="5">
        <f t="shared" si="13"/>
        <v>0.78500000000000048</v>
      </c>
      <c r="D46" s="2"/>
      <c r="E46" s="7">
        <f>_xlfn.BETA.DIST($C46,E$2,E$3,0)</f>
        <v>0.77481151952303196</v>
      </c>
      <c r="F46" s="7">
        <f>_xlfn.BETA.DIST($C46,E$2,E$3,1)</f>
        <v>0.69305680974268069</v>
      </c>
      <c r="G46" s="7"/>
      <c r="H46" s="7">
        <f>_xlfn.BETA.DIST($C46,H$2,H$3,0)</f>
        <v>1.8986662531250045</v>
      </c>
      <c r="I46" s="7">
        <f>_xlfn.BETA.DIST($C46,H$2,H$3,1)</f>
        <v>0.29809060174062596</v>
      </c>
      <c r="J46" s="7"/>
      <c r="K46" s="7">
        <f>_xlfn.BETA.DIST($C46,K$2,K$3,0)</f>
        <v>0.13867499999999944</v>
      </c>
      <c r="L46" s="7">
        <f>_xlfn.BETA.DIST($C46,K$2,K$3,1)</f>
        <v>0.99006162500000006</v>
      </c>
      <c r="M46" s="7"/>
      <c r="N46" s="7">
        <f>_xlfn.BETA.DIST($C46,N$2,N$3,0)</f>
        <v>1.0126499999999985</v>
      </c>
      <c r="O46" s="7">
        <f>_xlfn.BETA.DIST($C46,N$2,N$3,1)</f>
        <v>0.88120175000000045</v>
      </c>
      <c r="P46" s="7"/>
      <c r="Q46" s="7">
        <f>_xlfn.BETA.DIST($C46,Q$2,Q$3,0)</f>
        <v>5.0320477218749597E-2</v>
      </c>
      <c r="R46" s="7">
        <f>_xlfn.BETA.DIST($C46,Q$2,Q$3,1)</f>
        <v>0.9977374481819532</v>
      </c>
    </row>
    <row r="47" spans="2:18">
      <c r="B47">
        <f t="shared" si="17"/>
        <v>43</v>
      </c>
      <c r="C47" s="4">
        <f t="shared" si="13"/>
        <v>0.8100000000000005</v>
      </c>
      <c r="E47" s="6">
        <f>_xlfn.BETA.DIST($C47,E$2,E$3,0)</f>
        <v>0.81139217930121554</v>
      </c>
      <c r="F47" s="6">
        <f>_xlfn.BETA.DIST($C47,E$2,E$3,1)</f>
        <v>0.71286741374258789</v>
      </c>
      <c r="G47" s="6"/>
      <c r="H47" s="6">
        <f>_xlfn.BETA.DIST($C47,H$2,H$3,0)</f>
        <v>2.1523360500000051</v>
      </c>
      <c r="I47" s="6">
        <f>_xlfn.BETA.DIST($C47,H$2,H$3,1)</f>
        <v>0.3486784401000011</v>
      </c>
      <c r="J47" s="6"/>
      <c r="K47" s="6">
        <f>_xlfn.BETA.DIST($C47,K$2,K$3,0)</f>
        <v>0.10829999999999944</v>
      </c>
      <c r="L47" s="6">
        <f>_xlfn.BETA.DIST($C47,K$2,K$3,1)</f>
        <v>0.99314100000000005</v>
      </c>
      <c r="M47" s="6"/>
      <c r="N47" s="6">
        <f>_xlfn.BETA.DIST($C47,N$2,N$3,0)</f>
        <v>0.92339999999999811</v>
      </c>
      <c r="O47" s="6">
        <f>_xlfn.BETA.DIST($C47,N$2,N$3,1)</f>
        <v>0.9054180000000005</v>
      </c>
      <c r="P47" s="6"/>
      <c r="Q47" s="6">
        <f>_xlfn.BETA.DIST($C47,Q$2,Q$3,0)</f>
        <v>3.1668002999999688E-2</v>
      </c>
      <c r="R47" s="6">
        <f>_xlfn.BETA.DIST($C47,Q$2,Q$3,1)</f>
        <v>0.99874957000499998</v>
      </c>
    </row>
    <row r="48" spans="2:18">
      <c r="B48">
        <f t="shared" si="17"/>
        <v>44</v>
      </c>
      <c r="C48" s="4">
        <f t="shared" si="13"/>
        <v>0.83500000000000052</v>
      </c>
      <c r="E48" s="6">
        <f>_xlfn.BETA.DIST($C48,E$2,E$3,0)</f>
        <v>0.85756079350185843</v>
      </c>
      <c r="F48" s="6">
        <f>_xlfn.BETA.DIST($C48,E$2,E$3,1)</f>
        <v>0.733705915569418</v>
      </c>
      <c r="G48" s="6"/>
      <c r="H48" s="6">
        <f>_xlfn.BETA.DIST($C48,H$2,H$3,0)</f>
        <v>2.4306135031250058</v>
      </c>
      <c r="I48" s="6">
        <f>_xlfn.BETA.DIST($C48,H$2,H$3,1)</f>
        <v>0.40591245502187623</v>
      </c>
      <c r="J48" s="6"/>
      <c r="K48" s="6">
        <f>_xlfn.BETA.DIST($C48,K$2,K$3,0)</f>
        <v>8.1674999999999484E-2</v>
      </c>
      <c r="L48" s="6">
        <f>_xlfn.BETA.DIST($C48,K$2,K$3,1)</f>
        <v>0.99550787500000004</v>
      </c>
      <c r="M48" s="6"/>
      <c r="N48" s="6">
        <f>_xlfn.BETA.DIST($C48,N$2,N$3,0)</f>
        <v>0.82664999999999811</v>
      </c>
      <c r="O48" s="6">
        <f>_xlfn.BETA.DIST($C48,N$2,N$3,1)</f>
        <v>0.92730925000000042</v>
      </c>
      <c r="P48" s="6"/>
      <c r="Q48" s="6">
        <f>_xlfn.BETA.DIST($C48,Q$2,Q$3,0)</f>
        <v>1.8567075656249779E-2</v>
      </c>
      <c r="R48" s="6">
        <f>_xlfn.BETA.DIST($C48,Q$2,Q$3,1)</f>
        <v>0.99936710731632816</v>
      </c>
    </row>
    <row r="49" spans="2:18">
      <c r="B49">
        <f t="shared" si="17"/>
        <v>45</v>
      </c>
      <c r="C49" s="4">
        <f t="shared" si="13"/>
        <v>0.86000000000000054</v>
      </c>
      <c r="E49" s="6">
        <f>_xlfn.BETA.DIST($C49,E$2,E$3,0)</f>
        <v>0.91735384128431452</v>
      </c>
      <c r="F49" s="6">
        <f>_xlfn.BETA.DIST($C49,E$2,E$3,1)</f>
        <v>0.75585822465384034</v>
      </c>
      <c r="G49" s="6"/>
      <c r="H49" s="6">
        <f>_xlfn.BETA.DIST($C49,H$2,H$3,0)</f>
        <v>2.7350408000000068</v>
      </c>
      <c r="I49" s="6">
        <f>_xlfn.BETA.DIST($C49,H$2,H$3,1)</f>
        <v>0.4704270176000015</v>
      </c>
      <c r="J49" s="6"/>
      <c r="K49" s="6">
        <f>_xlfn.BETA.DIST($C49,K$2,K$3,0)</f>
        <v>5.879999999999954E-2</v>
      </c>
      <c r="L49" s="6">
        <f>_xlfn.BETA.DIST($C49,K$2,K$3,1)</f>
        <v>0.99725600000000003</v>
      </c>
      <c r="M49" s="6"/>
      <c r="N49" s="6">
        <f>_xlfn.BETA.DIST($C49,N$2,N$3,0)</f>
        <v>0.72239999999999782</v>
      </c>
      <c r="O49" s="6">
        <f>_xlfn.BETA.DIST($C49,N$2,N$3,1)</f>
        <v>0.94668800000000042</v>
      </c>
      <c r="P49" s="6"/>
      <c r="Q49" s="6">
        <f>_xlfn.BETA.DIST($C49,Q$2,Q$3,0)</f>
        <v>9.911327999999853E-3</v>
      </c>
      <c r="R49" s="6">
        <f>_xlfn.BETA.DIST($C49,Q$2,Q$3,1)</f>
        <v>0.99971495328000004</v>
      </c>
    </row>
    <row r="50" spans="2:18">
      <c r="B50">
        <f t="shared" si="17"/>
        <v>46</v>
      </c>
      <c r="C50" s="4">
        <f t="shared" si="13"/>
        <v>0.88500000000000056</v>
      </c>
      <c r="E50" s="6">
        <f>_xlfn.BETA.DIST($C50,E$2,E$3,0)</f>
        <v>0.99776800106944963</v>
      </c>
      <c r="F50" s="6">
        <f>_xlfn.BETA.DIST($C50,E$2,E$3,1)</f>
        <v>0.77974382696125777</v>
      </c>
      <c r="G50" s="6"/>
      <c r="H50" s="6">
        <f>_xlfn.BETA.DIST($C50,H$2,H$3,0)</f>
        <v>3.0672070031250076</v>
      </c>
      <c r="I50" s="6">
        <f>_xlfn.BETA.DIST($C50,H$2,H$3,1)</f>
        <v>0.5428956395531267</v>
      </c>
      <c r="J50" s="6"/>
      <c r="K50" s="6">
        <f>_xlfn.BETA.DIST($C50,K$2,K$3,0)</f>
        <v>3.9674999999999613E-2</v>
      </c>
      <c r="L50" s="6">
        <f>_xlfn.BETA.DIST($C50,K$2,K$3,1)</f>
        <v>0.99847912500000002</v>
      </c>
      <c r="M50" s="6"/>
      <c r="N50" s="6">
        <f>_xlfn.BETA.DIST($C50,N$2,N$3,0)</f>
        <v>0.61064999999999736</v>
      </c>
      <c r="O50" s="6">
        <f>_xlfn.BETA.DIST($C50,N$2,N$3,1)</f>
        <v>0.96336675000000027</v>
      </c>
      <c r="P50" s="6"/>
      <c r="Q50" s="6">
        <f>_xlfn.BETA.DIST($C50,Q$2,Q$3,0)</f>
        <v>4.6436115937499118E-3</v>
      </c>
      <c r="R50" s="6">
        <f>_xlfn.BETA.DIST($C50,Q$2,Q$3,1)</f>
        <v>0.99989088387257818</v>
      </c>
    </row>
    <row r="51" spans="2:18">
      <c r="B51">
        <f t="shared" si="17"/>
        <v>47</v>
      </c>
      <c r="C51" s="4">
        <f t="shared" ref="C51:C60" si="18">C50+C$3</f>
        <v>0.91000000000000059</v>
      </c>
      <c r="E51" s="6">
        <f t="shared" ref="E51:E60" si="19">_xlfn.BETA.DIST($C51,E$2,E$3,0)</f>
        <v>1.112264756883828</v>
      </c>
      <c r="F51" s="6">
        <f t="shared" ref="F51:F60" si="20">_xlfn.BETA.DIST($C51,E$2,E$3,1)</f>
        <v>0.80602663195864399</v>
      </c>
      <c r="G51" s="6"/>
      <c r="H51" s="6">
        <f t="shared" ref="H51:H60" si="21">_xlfn.BETA.DIST($C51,H$2,H$3,0)</f>
        <v>3.4287480500000087</v>
      </c>
      <c r="I51" s="6">
        <f t="shared" ref="I51:I60" si="22">_xlfn.BETA.DIST($C51,H$2,H$3,1)</f>
        <v>0.62403214510000204</v>
      </c>
      <c r="J51" s="6"/>
      <c r="K51" s="6">
        <f t="shared" ref="K51:K60" si="23">_xlfn.BETA.DIST($C51,K$2,K$3,0)</f>
        <v>2.4299999999999686E-2</v>
      </c>
      <c r="L51" s="6">
        <f t="shared" ref="L51:L60" si="24">_xlfn.BETA.DIST($C51,K$2,K$3,1)</f>
        <v>0.99927100000000002</v>
      </c>
      <c r="M51" s="6"/>
      <c r="N51" s="6">
        <f t="shared" ref="N51:N60" si="25">_xlfn.BETA.DIST($C51,N$2,N$3,0)</f>
        <v>0.49139999999999712</v>
      </c>
      <c r="O51" s="6">
        <f t="shared" ref="O51:O60" si="26">_xlfn.BETA.DIST($C51,N$2,N$3,1)</f>
        <v>0.9771580000000003</v>
      </c>
      <c r="P51" s="6"/>
      <c r="Q51" s="6">
        <f t="shared" ref="Q51:Q60" si="27">_xlfn.BETA.DIST($C51,Q$2,Q$3,0)</f>
        <v>1.7911529999999542E-3</v>
      </c>
      <c r="R51" s="6">
        <f t="shared" ref="R51:R60" si="28">_xlfn.BETA.DIST($C51,Q$2,Q$3,1)</f>
        <v>0.99996722780500003</v>
      </c>
    </row>
    <row r="52" spans="2:18">
      <c r="B52">
        <f t="shared" si="17"/>
        <v>48</v>
      </c>
      <c r="C52" s="4">
        <f t="shared" ref="C52:C66" si="29">C51+0.01</f>
        <v>0.9200000000000006</v>
      </c>
      <c r="E52" s="6">
        <f t="shared" si="19"/>
        <v>1.173305807059523</v>
      </c>
      <c r="F52" s="6">
        <f t="shared" si="20"/>
        <v>0.81744510900617229</v>
      </c>
      <c r="G52" s="6"/>
      <c r="H52" s="6">
        <f t="shared" si="21"/>
        <v>3.5819648000000086</v>
      </c>
      <c r="I52" s="6">
        <f t="shared" si="22"/>
        <v>0.65908152320000202</v>
      </c>
      <c r="J52" s="6"/>
      <c r="K52" s="6">
        <f t="shared" si="23"/>
        <v>1.9199999999999724E-2</v>
      </c>
      <c r="L52" s="6">
        <f t="shared" si="24"/>
        <v>0.99948799999999993</v>
      </c>
      <c r="M52" s="6"/>
      <c r="N52" s="6">
        <f t="shared" si="25"/>
        <v>0.44159999999999705</v>
      </c>
      <c r="O52" s="6">
        <f t="shared" si="26"/>
        <v>0.98182400000000025</v>
      </c>
      <c r="P52" s="6"/>
      <c r="Q52" s="6">
        <f t="shared" si="27"/>
        <v>1.1304959999999678E-3</v>
      </c>
      <c r="R52" s="6">
        <f t="shared" si="28"/>
        <v>0.99998164992000005</v>
      </c>
    </row>
    <row r="53" spans="2:18">
      <c r="B53">
        <f t="shared" si="17"/>
        <v>49</v>
      </c>
      <c r="C53" s="4">
        <f t="shared" si="29"/>
        <v>0.9300000000000006</v>
      </c>
      <c r="E53" s="6">
        <f t="shared" si="19"/>
        <v>1.2475548043663949</v>
      </c>
      <c r="F53" s="6">
        <f t="shared" si="20"/>
        <v>0.82953657161680172</v>
      </c>
      <c r="G53" s="6"/>
      <c r="H53" s="6">
        <f t="shared" si="21"/>
        <v>3.7402600500000092</v>
      </c>
      <c r="I53" s="6">
        <f t="shared" si="22"/>
        <v>0.69568836930000222</v>
      </c>
      <c r="J53" s="6"/>
      <c r="K53" s="6">
        <f t="shared" si="23"/>
        <v>1.4699999999999745E-2</v>
      </c>
      <c r="L53" s="6">
        <f t="shared" si="24"/>
        <v>0.99965700000000002</v>
      </c>
      <c r="M53" s="6"/>
      <c r="N53" s="6">
        <f t="shared" si="25"/>
        <v>0.39059999999999684</v>
      </c>
      <c r="O53" s="6">
        <f t="shared" si="26"/>
        <v>0.98598600000000025</v>
      </c>
      <c r="P53" s="6"/>
      <c r="Q53" s="6">
        <f t="shared" si="27"/>
        <v>6.6987899999997719E-4</v>
      </c>
      <c r="R53" s="6">
        <f t="shared" si="28"/>
        <v>0.99999050404500001</v>
      </c>
    </row>
    <row r="54" spans="2:18">
      <c r="B54">
        <f t="shared" si="17"/>
        <v>50</v>
      </c>
      <c r="C54" s="4">
        <f t="shared" si="29"/>
        <v>0.94000000000000061</v>
      </c>
      <c r="E54" s="6">
        <f t="shared" si="19"/>
        <v>1.340326410720728</v>
      </c>
      <c r="F54" s="6">
        <f t="shared" si="20"/>
        <v>0.84245757457595649</v>
      </c>
      <c r="G54" s="6"/>
      <c r="H54" s="6">
        <f t="shared" si="21"/>
        <v>3.9037448000000099</v>
      </c>
      <c r="I54" s="6">
        <f t="shared" si="22"/>
        <v>0.73390402240000241</v>
      </c>
      <c r="J54" s="6"/>
      <c r="K54" s="6">
        <f t="shared" si="23"/>
        <v>1.079999999999978E-2</v>
      </c>
      <c r="L54" s="6">
        <f t="shared" si="24"/>
        <v>0.99978400000000001</v>
      </c>
      <c r="M54" s="6"/>
      <c r="N54" s="6">
        <f t="shared" si="25"/>
        <v>0.33839999999999681</v>
      </c>
      <c r="O54" s="6">
        <f t="shared" si="26"/>
        <v>0.98963200000000029</v>
      </c>
      <c r="P54" s="6"/>
      <c r="Q54" s="6">
        <f t="shared" si="27"/>
        <v>3.6547199999998486E-4</v>
      </c>
      <c r="R54" s="6">
        <f t="shared" si="28"/>
        <v>0.99999556767999997</v>
      </c>
    </row>
    <row r="55" spans="2:18">
      <c r="B55">
        <f t="shared" si="17"/>
        <v>51</v>
      </c>
      <c r="C55" s="4">
        <f t="shared" si="29"/>
        <v>0.95000000000000062</v>
      </c>
      <c r="E55" s="6">
        <f t="shared" si="19"/>
        <v>1.4605059227421948</v>
      </c>
      <c r="F55" s="6">
        <f t="shared" si="20"/>
        <v>0.85643370687129461</v>
      </c>
      <c r="G55" s="6"/>
      <c r="H55" s="6">
        <f t="shared" si="21"/>
        <v>4.0725312500000106</v>
      </c>
      <c r="I55" s="6">
        <f t="shared" si="22"/>
        <v>0.77378093750000254</v>
      </c>
      <c r="J55" s="6"/>
      <c r="K55" s="6">
        <f t="shared" si="23"/>
        <v>7.4999999999998158E-3</v>
      </c>
      <c r="L55" s="6">
        <f t="shared" si="24"/>
        <v>0.99987500000000007</v>
      </c>
      <c r="M55" s="6"/>
      <c r="N55" s="6">
        <f t="shared" si="25"/>
        <v>0.28499999999999659</v>
      </c>
      <c r="O55" s="6">
        <f t="shared" si="26"/>
        <v>0.99275000000000024</v>
      </c>
      <c r="P55" s="6"/>
      <c r="Q55" s="6">
        <f t="shared" si="27"/>
        <v>1.781249999999915E-4</v>
      </c>
      <c r="R55" s="6">
        <f t="shared" si="28"/>
        <v>0.99999820312499998</v>
      </c>
    </row>
    <row r="56" spans="2:18">
      <c r="B56">
        <f t="shared" si="17"/>
        <v>52</v>
      </c>
      <c r="C56" s="4">
        <f t="shared" si="29"/>
        <v>0.96000000000000063</v>
      </c>
      <c r="E56" s="6">
        <f t="shared" si="19"/>
        <v>1.6243683359035042</v>
      </c>
      <c r="F56" s="6">
        <f t="shared" si="20"/>
        <v>0.87181156630205114</v>
      </c>
      <c r="G56" s="6"/>
      <c r="H56" s="6">
        <f t="shared" si="21"/>
        <v>4.2467328000000109</v>
      </c>
      <c r="I56" s="6">
        <f t="shared" si="22"/>
        <v>0.81537269760000264</v>
      </c>
      <c r="J56" s="6"/>
      <c r="K56" s="6">
        <f t="shared" si="23"/>
        <v>4.7999999999998487E-3</v>
      </c>
      <c r="L56" s="6">
        <f t="shared" si="24"/>
        <v>0.99993599999999994</v>
      </c>
      <c r="M56" s="6"/>
      <c r="N56" s="6">
        <f t="shared" si="25"/>
        <v>0.23039999999999652</v>
      </c>
      <c r="O56" s="6">
        <f t="shared" si="26"/>
        <v>0.99532800000000021</v>
      </c>
      <c r="P56" s="6"/>
      <c r="Q56" s="6">
        <f t="shared" si="27"/>
        <v>7.3727999999995361E-5</v>
      </c>
      <c r="R56" s="6">
        <f t="shared" si="28"/>
        <v>0.99999940607999993</v>
      </c>
    </row>
    <row r="57" spans="2:18">
      <c r="B57">
        <f t="shared" si="17"/>
        <v>53</v>
      </c>
      <c r="C57" s="4">
        <f t="shared" si="29"/>
        <v>0.97000000000000064</v>
      </c>
      <c r="E57" s="6">
        <f t="shared" si="19"/>
        <v>1.8659655989795882</v>
      </c>
      <c r="F57" s="6">
        <f t="shared" si="20"/>
        <v>0.88917531339554179</v>
      </c>
      <c r="G57" s="6"/>
      <c r="H57" s="6">
        <f t="shared" si="21"/>
        <v>4.4264640500000114</v>
      </c>
      <c r="I57" s="6">
        <f t="shared" si="22"/>
        <v>0.8587340257000029</v>
      </c>
      <c r="J57" s="6"/>
      <c r="K57" s="6">
        <f t="shared" si="23"/>
        <v>2.6999999999998848E-3</v>
      </c>
      <c r="L57" s="6">
        <f t="shared" si="24"/>
        <v>0.999973</v>
      </c>
      <c r="M57" s="6"/>
      <c r="N57" s="6">
        <f t="shared" si="25"/>
        <v>0.17459999999999642</v>
      </c>
      <c r="O57" s="6">
        <f t="shared" si="26"/>
        <v>0.99735400000000007</v>
      </c>
      <c r="P57" s="6"/>
      <c r="Q57" s="6">
        <f t="shared" si="27"/>
        <v>2.3570999999997993E-5</v>
      </c>
      <c r="R57" s="6">
        <f t="shared" si="28"/>
        <v>0.99999985784500001</v>
      </c>
    </row>
    <row r="58" spans="2:18">
      <c r="B58">
        <f t="shared" si="17"/>
        <v>54</v>
      </c>
      <c r="C58" s="4">
        <f t="shared" si="29"/>
        <v>0.98000000000000065</v>
      </c>
      <c r="E58" s="6">
        <f t="shared" si="19"/>
        <v>2.2736420441699692</v>
      </c>
      <c r="F58" s="6">
        <f t="shared" si="20"/>
        <v>0.90966552939826839</v>
      </c>
      <c r="G58" s="6"/>
      <c r="H58" s="6">
        <f t="shared" si="21"/>
        <v>4.611840800000012</v>
      </c>
      <c r="I58" s="6">
        <f t="shared" si="22"/>
        <v>0.90392079680000292</v>
      </c>
      <c r="J58" s="6"/>
      <c r="K58" s="6">
        <f t="shared" si="23"/>
        <v>1.1999999999999225E-3</v>
      </c>
      <c r="L58" s="6">
        <f t="shared" si="24"/>
        <v>0.99999199999999999</v>
      </c>
      <c r="M58" s="6"/>
      <c r="N58" s="6">
        <f t="shared" si="25"/>
        <v>0.11759999999999629</v>
      </c>
      <c r="O58" s="6">
        <f t="shared" si="26"/>
        <v>0.99881600000000015</v>
      </c>
      <c r="P58" s="6"/>
      <c r="Q58" s="6">
        <f t="shared" si="27"/>
        <v>4.7039999999993954E-6</v>
      </c>
      <c r="R58" s="6">
        <f t="shared" si="28"/>
        <v>0.99999998111999999</v>
      </c>
    </row>
    <row r="59" spans="2:18">
      <c r="B59">
        <f t="shared" si="17"/>
        <v>55</v>
      </c>
      <c r="C59" s="4">
        <f t="shared" si="29"/>
        <v>0.99000000000000066</v>
      </c>
      <c r="E59" s="6">
        <f t="shared" si="19"/>
        <v>3.199134725855759</v>
      </c>
      <c r="F59" s="6">
        <f t="shared" si="20"/>
        <v>0.93623143914148232</v>
      </c>
      <c r="G59" s="6"/>
      <c r="H59" s="6">
        <f t="shared" si="21"/>
        <v>4.8029800500000119</v>
      </c>
      <c r="I59" s="6">
        <f t="shared" si="22"/>
        <v>0.95099004990000313</v>
      </c>
      <c r="J59" s="6"/>
      <c r="K59" s="6">
        <f t="shared" si="23"/>
        <v>2.9999999999996035E-4</v>
      </c>
      <c r="L59" s="6">
        <f t="shared" si="24"/>
        <v>0.99999900000000008</v>
      </c>
      <c r="M59" s="6"/>
      <c r="N59" s="6">
        <f t="shared" si="25"/>
        <v>5.9399999999996136E-2</v>
      </c>
      <c r="O59" s="6">
        <f t="shared" si="26"/>
        <v>0.99970200000000009</v>
      </c>
      <c r="P59" s="6"/>
      <c r="Q59" s="6">
        <f t="shared" si="27"/>
        <v>2.9699999999992231E-7</v>
      </c>
      <c r="R59" s="6">
        <f t="shared" si="28"/>
        <v>0.99999999940499995</v>
      </c>
    </row>
    <row r="60" spans="2:18">
      <c r="B60">
        <f t="shared" si="17"/>
        <v>56</v>
      </c>
      <c r="C60" s="4">
        <f t="shared" si="29"/>
        <v>1.0000000000000007</v>
      </c>
      <c r="E60" s="6" t="e">
        <f t="shared" si="19"/>
        <v>#NUM!</v>
      </c>
      <c r="F60" s="6" t="e">
        <f t="shared" si="20"/>
        <v>#NUM!</v>
      </c>
      <c r="G60" s="6"/>
      <c r="H60" s="6" t="e">
        <f t="shared" si="21"/>
        <v>#NUM!</v>
      </c>
      <c r="I60" s="6" t="e">
        <f t="shared" si="22"/>
        <v>#NUM!</v>
      </c>
      <c r="J60" s="6"/>
      <c r="K60" s="6" t="e">
        <f t="shared" si="23"/>
        <v>#NUM!</v>
      </c>
      <c r="L60" s="6" t="e">
        <f t="shared" si="24"/>
        <v>#NUM!</v>
      </c>
      <c r="M60" s="6"/>
      <c r="N60" s="6" t="e">
        <f t="shared" si="25"/>
        <v>#NUM!</v>
      </c>
      <c r="O60" s="6" t="e">
        <f t="shared" si="26"/>
        <v>#NUM!</v>
      </c>
      <c r="P60" s="6"/>
      <c r="Q60" s="6" t="e">
        <f t="shared" si="27"/>
        <v>#NUM!</v>
      </c>
      <c r="R60" s="6" t="e">
        <f t="shared" si="28"/>
        <v>#NUM!</v>
      </c>
    </row>
    <row r="61" spans="2:18">
      <c r="B61">
        <f t="shared" si="14"/>
        <v>57</v>
      </c>
      <c r="C61" s="4">
        <f>C60+0.01</f>
        <v>1.0100000000000007</v>
      </c>
      <c r="E61" s="6" t="e">
        <f t="shared" ref="E60:E66" si="30">_xlfn.BETA.DIST($C61,E$2,E$3,0)</f>
        <v>#NUM!</v>
      </c>
      <c r="F61" s="6" t="e">
        <f t="shared" ref="F60:F66" si="31">_xlfn.BETA.DIST($C61,E$2,E$3,1)</f>
        <v>#NUM!</v>
      </c>
      <c r="G61" s="6"/>
      <c r="H61" s="6" t="e">
        <f t="shared" ref="H60:H66" si="32">_xlfn.BETA.DIST($C61,H$2,H$3,0)</f>
        <v>#NUM!</v>
      </c>
      <c r="I61" s="6" t="e">
        <f t="shared" ref="I60:I66" si="33">_xlfn.BETA.DIST($C61,H$2,H$3,1)</f>
        <v>#NUM!</v>
      </c>
      <c r="J61" s="6"/>
      <c r="K61" s="6" t="e">
        <f t="shared" ref="K60:K66" si="34">_xlfn.BETA.DIST($C61,K$2,K$3,0)</f>
        <v>#NUM!</v>
      </c>
      <c r="L61" s="6" t="e">
        <f t="shared" ref="L60:L66" si="35">_xlfn.BETA.DIST($C61,K$2,K$3,1)</f>
        <v>#NUM!</v>
      </c>
      <c r="M61" s="6"/>
      <c r="N61" s="6" t="e">
        <f t="shared" ref="N60:N66" si="36">_xlfn.BETA.DIST($C61,N$2,N$3,0)</f>
        <v>#NUM!</v>
      </c>
      <c r="O61" s="6" t="e">
        <f t="shared" ref="O60:O66" si="37">_xlfn.BETA.DIST($C61,N$2,N$3,1)</f>
        <v>#NUM!</v>
      </c>
      <c r="P61" s="6"/>
      <c r="Q61" s="6" t="e">
        <f t="shared" ref="Q60:Q66" si="38">_xlfn.BETA.DIST($C61,Q$2,Q$3,0)</f>
        <v>#NUM!</v>
      </c>
      <c r="R61" s="6" t="e">
        <f t="shared" ref="R60:R66" si="39">_xlfn.BETA.DIST($C61,Q$2,Q$3,1)</f>
        <v>#NUM!</v>
      </c>
    </row>
    <row r="62" spans="2:18">
      <c r="B62">
        <f t="shared" si="14"/>
        <v>58</v>
      </c>
      <c r="C62" s="4">
        <f t="shared" ref="C62:C66" si="40">C61+0.01</f>
        <v>1.0200000000000007</v>
      </c>
      <c r="E62" s="6" t="e">
        <f t="shared" si="30"/>
        <v>#NUM!</v>
      </c>
      <c r="F62" s="6" t="e">
        <f t="shared" si="31"/>
        <v>#NUM!</v>
      </c>
      <c r="G62" s="6"/>
      <c r="H62" s="6" t="e">
        <f t="shared" si="32"/>
        <v>#NUM!</v>
      </c>
      <c r="I62" s="6" t="e">
        <f t="shared" si="33"/>
        <v>#NUM!</v>
      </c>
      <c r="J62" s="6"/>
      <c r="K62" s="6" t="e">
        <f t="shared" si="34"/>
        <v>#NUM!</v>
      </c>
      <c r="L62" s="6" t="e">
        <f t="shared" si="35"/>
        <v>#NUM!</v>
      </c>
      <c r="M62" s="6"/>
      <c r="N62" s="6" t="e">
        <f t="shared" si="36"/>
        <v>#NUM!</v>
      </c>
      <c r="O62" s="6" t="e">
        <f t="shared" si="37"/>
        <v>#NUM!</v>
      </c>
      <c r="P62" s="6"/>
      <c r="Q62" s="6" t="e">
        <f t="shared" si="38"/>
        <v>#NUM!</v>
      </c>
      <c r="R62" s="6" t="e">
        <f t="shared" si="39"/>
        <v>#NUM!</v>
      </c>
    </row>
    <row r="63" spans="2:18">
      <c r="B63">
        <f t="shared" si="14"/>
        <v>59</v>
      </c>
      <c r="C63" s="4">
        <f t="shared" si="40"/>
        <v>1.0300000000000007</v>
      </c>
      <c r="E63" s="6" t="e">
        <f t="shared" si="30"/>
        <v>#NUM!</v>
      </c>
      <c r="F63" s="6" t="e">
        <f t="shared" si="31"/>
        <v>#NUM!</v>
      </c>
      <c r="G63" s="6"/>
      <c r="H63" s="6" t="e">
        <f t="shared" si="32"/>
        <v>#NUM!</v>
      </c>
      <c r="I63" s="6" t="e">
        <f t="shared" si="33"/>
        <v>#NUM!</v>
      </c>
      <c r="J63" s="6"/>
      <c r="K63" s="6" t="e">
        <f t="shared" si="34"/>
        <v>#NUM!</v>
      </c>
      <c r="L63" s="6" t="e">
        <f t="shared" si="35"/>
        <v>#NUM!</v>
      </c>
      <c r="M63" s="6"/>
      <c r="N63" s="6" t="e">
        <f t="shared" si="36"/>
        <v>#NUM!</v>
      </c>
      <c r="O63" s="6" t="e">
        <f t="shared" si="37"/>
        <v>#NUM!</v>
      </c>
      <c r="P63" s="6"/>
      <c r="Q63" s="6" t="e">
        <f t="shared" si="38"/>
        <v>#NUM!</v>
      </c>
      <c r="R63" s="6" t="e">
        <f t="shared" si="39"/>
        <v>#NUM!</v>
      </c>
    </row>
    <row r="64" spans="2:18">
      <c r="B64">
        <f t="shared" si="14"/>
        <v>60</v>
      </c>
      <c r="C64" s="4">
        <f t="shared" si="40"/>
        <v>1.0400000000000007</v>
      </c>
      <c r="E64" s="6" t="e">
        <f t="shared" si="30"/>
        <v>#NUM!</v>
      </c>
      <c r="F64" s="6" t="e">
        <f t="shared" si="31"/>
        <v>#NUM!</v>
      </c>
      <c r="G64" s="6"/>
      <c r="H64" s="6" t="e">
        <f t="shared" si="32"/>
        <v>#NUM!</v>
      </c>
      <c r="I64" s="6" t="e">
        <f t="shared" si="33"/>
        <v>#NUM!</v>
      </c>
      <c r="J64" s="6"/>
      <c r="K64" s="6" t="e">
        <f t="shared" si="34"/>
        <v>#NUM!</v>
      </c>
      <c r="L64" s="6" t="e">
        <f t="shared" si="35"/>
        <v>#NUM!</v>
      </c>
      <c r="M64" s="6"/>
      <c r="N64" s="6" t="e">
        <f t="shared" si="36"/>
        <v>#NUM!</v>
      </c>
      <c r="O64" s="6" t="e">
        <f t="shared" si="37"/>
        <v>#NUM!</v>
      </c>
      <c r="P64" s="6"/>
      <c r="Q64" s="6" t="e">
        <f t="shared" si="38"/>
        <v>#NUM!</v>
      </c>
      <c r="R64" s="6" t="e">
        <f t="shared" si="39"/>
        <v>#NUM!</v>
      </c>
    </row>
    <row r="65" spans="2:18">
      <c r="B65">
        <f t="shared" si="14"/>
        <v>61</v>
      </c>
      <c r="C65" s="4">
        <f t="shared" si="40"/>
        <v>1.0500000000000007</v>
      </c>
      <c r="E65" s="6" t="e">
        <f t="shared" si="30"/>
        <v>#NUM!</v>
      </c>
      <c r="F65" s="6" t="e">
        <f t="shared" si="31"/>
        <v>#NUM!</v>
      </c>
      <c r="G65" s="6"/>
      <c r="H65" s="6" t="e">
        <f t="shared" si="32"/>
        <v>#NUM!</v>
      </c>
      <c r="I65" s="6" t="e">
        <f t="shared" si="33"/>
        <v>#NUM!</v>
      </c>
      <c r="J65" s="6"/>
      <c r="K65" s="6" t="e">
        <f t="shared" si="34"/>
        <v>#NUM!</v>
      </c>
      <c r="L65" s="6" t="e">
        <f t="shared" si="35"/>
        <v>#NUM!</v>
      </c>
      <c r="M65" s="6"/>
      <c r="N65" s="6" t="e">
        <f t="shared" si="36"/>
        <v>#NUM!</v>
      </c>
      <c r="O65" s="6" t="e">
        <f t="shared" si="37"/>
        <v>#NUM!</v>
      </c>
      <c r="P65" s="6"/>
      <c r="Q65" s="6" t="e">
        <f t="shared" si="38"/>
        <v>#NUM!</v>
      </c>
      <c r="R65" s="6" t="e">
        <f t="shared" si="39"/>
        <v>#NUM!</v>
      </c>
    </row>
    <row r="66" spans="2:18">
      <c r="B66">
        <f t="shared" si="14"/>
        <v>62</v>
      </c>
      <c r="C66" s="4">
        <f t="shared" si="40"/>
        <v>1.0600000000000007</v>
      </c>
      <c r="E66" s="6" t="e">
        <f t="shared" si="30"/>
        <v>#NUM!</v>
      </c>
      <c r="F66" s="6" t="e">
        <f t="shared" si="31"/>
        <v>#NUM!</v>
      </c>
      <c r="G66" s="6"/>
      <c r="H66" s="6" t="e">
        <f t="shared" si="32"/>
        <v>#NUM!</v>
      </c>
      <c r="I66" s="6" t="e">
        <f t="shared" si="33"/>
        <v>#NUM!</v>
      </c>
      <c r="J66" s="6"/>
      <c r="K66" s="6" t="e">
        <f t="shared" si="34"/>
        <v>#NUM!</v>
      </c>
      <c r="L66" s="6" t="e">
        <f t="shared" si="35"/>
        <v>#NUM!</v>
      </c>
      <c r="M66" s="6"/>
      <c r="N66" s="6" t="e">
        <f t="shared" si="36"/>
        <v>#NUM!</v>
      </c>
      <c r="O66" s="6" t="e">
        <f t="shared" si="37"/>
        <v>#NUM!</v>
      </c>
      <c r="P66" s="6"/>
      <c r="Q66" s="6" t="e">
        <f t="shared" si="38"/>
        <v>#NUM!</v>
      </c>
      <c r="R66" s="6" t="e">
        <f t="shared" si="39"/>
        <v>#NUM!</v>
      </c>
    </row>
  </sheetData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Gamma_k,theta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Drouin</dc:creator>
  <cp:lastModifiedBy>Jerome Drouin</cp:lastModifiedBy>
  <dcterms:created xsi:type="dcterms:W3CDTF">2019-01-22T10:36:21Z</dcterms:created>
  <dcterms:modified xsi:type="dcterms:W3CDTF">2019-02-01T14:32:43Z</dcterms:modified>
</cp:coreProperties>
</file>